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- Agile Release Plan" sheetId="1" r:id="rId4"/>
    <sheet state="visible" name="Dropdown Keys - Do Not Delete -" sheetId="2" r:id="rId5"/>
  </sheets>
  <definedNames>
    <definedName name="Priority">#REF!</definedName>
    <definedName name="YesNo">'Dropdown Keys - Do Not Delete -'!$B$5:$B$6</definedName>
  </definedNames>
  <calcPr/>
  <extLst>
    <ext uri="GoogleSheetsCustomDataVersion2">
      <go:sheetsCustomData xmlns:go="http://customooxmlschemas.google.com/" r:id="rId6" roundtripDataChecksum="8sbiaSZmvBepjVRWPu6ceSztnux+f8RsAg7dAIum/oQ="/>
    </ext>
  </extLst>
</workbook>
</file>

<file path=xl/sharedStrings.xml><?xml version="1.0" encoding="utf-8"?>
<sst xmlns="http://schemas.openxmlformats.org/spreadsheetml/2006/main" count="314" uniqueCount="105">
  <si>
    <t xml:space="preserve">Agile Release Plan Template </t>
  </si>
  <si>
    <t>Project Name</t>
  </si>
  <si>
    <t>Name</t>
  </si>
  <si>
    <t>Project Manager</t>
  </si>
  <si>
    <t>AT RISK</t>
  </si>
  <si>
    <t>TASK NAME</t>
  </si>
  <si>
    <t>FEATURE TYPE</t>
  </si>
  <si>
    <t>RESPONSIBLE</t>
  </si>
  <si>
    <t>STORY POINTS</t>
  </si>
  <si>
    <t>START</t>
  </si>
  <si>
    <t>FINISH</t>
  </si>
  <si>
    <r>
      <rPr>
        <rFont val="Century Gothic"/>
        <b/>
        <color theme="1"/>
        <sz val="10.0"/>
      </rPr>
      <t xml:space="preserve">DURATION
</t>
    </r>
    <r>
      <rPr>
        <rFont val="Century Gothic"/>
        <b val="0"/>
        <color theme="1"/>
        <sz val="10.0"/>
      </rPr>
      <t>in days</t>
    </r>
  </si>
  <si>
    <t>STATUS</t>
  </si>
  <si>
    <t>COMMENTS</t>
  </si>
  <si>
    <t>SPRINT 1</t>
  </si>
  <si>
    <t>Login de usuario</t>
  </si>
  <si>
    <t>Autenticación y seguridad</t>
  </si>
  <si>
    <t>A. Dodero</t>
  </si>
  <si>
    <t>Complete</t>
  </si>
  <si>
    <t>Sin Comentarios</t>
  </si>
  <si>
    <t>Registro de usuario</t>
  </si>
  <si>
    <t>P.Cariman</t>
  </si>
  <si>
    <t>Mantener sesión activa</t>
  </si>
  <si>
    <t>Cerrar sesión</t>
  </si>
  <si>
    <t>Ver pantalla principal</t>
  </si>
  <si>
    <t>Home y navegación</t>
  </si>
  <si>
    <t>Navegar a escaneo</t>
  </si>
  <si>
    <t>Navegar a búsqueda</t>
  </si>
  <si>
    <t>Navegar a mapa</t>
  </si>
  <si>
    <t>Navegar a favoritos</t>
  </si>
  <si>
    <t>Navegar a historial</t>
  </si>
  <si>
    <t>SPRINT 2</t>
  </si>
  <si>
    <t>Escanear código de barras</t>
  </si>
  <si>
    <t>Escaneo de productos</t>
  </si>
  <si>
    <t>Detectar código automáticamente</t>
  </si>
  <si>
    <t>Ingresar código manual</t>
  </si>
  <si>
    <t>Validar código</t>
  </si>
  <si>
    <t>Mostrar resultado del escaneo</t>
  </si>
  <si>
    <t>Buscar productos</t>
  </si>
  <si>
    <t>Búsqueda de productos</t>
  </si>
  <si>
    <t>Visualizar resultados de búsqueda</t>
  </si>
  <si>
    <t>Ver nombre del producto</t>
  </si>
  <si>
    <t>Detalle de productos</t>
  </si>
  <si>
    <t>Ver código del producto</t>
  </si>
  <si>
    <t>Ver ubicación del producto</t>
  </si>
  <si>
    <t>Ver perfil</t>
  </si>
  <si>
    <t>Perfil de usuario</t>
  </si>
  <si>
    <t>Editar datos personales</t>
  </si>
  <si>
    <t>SPRINT 3</t>
  </si>
  <si>
    <t>Agregar productos a favoritos</t>
  </si>
  <si>
    <t>Favoritos</t>
  </si>
  <si>
    <t>Quitar productos de favoritos</t>
  </si>
  <si>
    <t>Ver lista de favoritos</t>
  </si>
  <si>
    <t>Ver ubicación desde favorito</t>
  </si>
  <si>
    <t>Guardar producto escaneado</t>
  </si>
  <si>
    <t>Historial</t>
  </si>
  <si>
    <t>Guardar fecha</t>
  </si>
  <si>
    <t>Guardar hora</t>
  </si>
  <si>
    <t>Ver historial</t>
  </si>
  <si>
    <t>SPRINT 4</t>
  </si>
  <si>
    <t>Notificación por favoritos</t>
  </si>
  <si>
    <t>Notificaciones</t>
  </si>
  <si>
    <t>Notificación por escaneo frecuente</t>
  </si>
  <si>
    <t>Ver notificaciones</t>
  </si>
  <si>
    <t>Marcar como leída</t>
  </si>
  <si>
    <t>SPRINT 5</t>
  </si>
  <si>
    <t>Ver pasillo y sección</t>
  </si>
  <si>
    <t>Ubicación</t>
  </si>
  <si>
    <t>Ver góndola y ubicación en texto</t>
  </si>
  <si>
    <t>Validar ubicación del producto</t>
  </si>
  <si>
    <t>Mostrar nombre del local</t>
  </si>
  <si>
    <t>Localización</t>
  </si>
  <si>
    <t>Detectar ubicación del usuario</t>
  </si>
  <si>
    <t>Asociar usuario a local</t>
  </si>
  <si>
    <t>Mostrar mapa del local</t>
  </si>
  <si>
    <t>Mapa Interactivo</t>
  </si>
  <si>
    <t>Mostrar zonas y pasillos</t>
  </si>
  <si>
    <t>Mostrar ubicación del usuario y producto</t>
  </si>
  <si>
    <t>Mostrar ruta visual e interacción con mapa</t>
  </si>
  <si>
    <t>Botón volver y navegación del mapa</t>
  </si>
  <si>
    <t>SPRINT 6</t>
  </si>
  <si>
    <t>Crear y editar producto</t>
  </si>
  <si>
    <t>Gestión Administrador</t>
  </si>
  <si>
    <t>Eliminar producto y crear tipo producto</t>
  </si>
  <si>
    <t>Crear ubicación y asignar producto</t>
  </si>
  <si>
    <t>Crear reporte</t>
  </si>
  <si>
    <t>Reportes</t>
  </si>
  <si>
    <t>Ver y filtrar reportes</t>
  </si>
  <si>
    <t>Cambiar estado y prioridad de reportes</t>
  </si>
  <si>
    <t>Eliminar reporte</t>
  </si>
  <si>
    <t>Registrar acción y creación</t>
  </si>
  <si>
    <t>Registrar actualización y eliminación</t>
  </si>
  <si>
    <t>Bitácora</t>
  </si>
  <si>
    <t>Ver historial de acciones</t>
  </si>
  <si>
    <t>Filtrar historial por usuario</t>
  </si>
  <si>
    <t>DROPDOWN KEYS</t>
  </si>
  <si>
    <t>YES / NO</t>
  </si>
  <si>
    <t>Yes</t>
  </si>
  <si>
    <t>Not Started</t>
  </si>
  <si>
    <t>No</t>
  </si>
  <si>
    <t>In Progress</t>
  </si>
  <si>
    <t>Needs Review</t>
  </si>
  <si>
    <t>Approved</t>
  </si>
  <si>
    <t>Overdue</t>
  </si>
  <si>
    <t>On Hold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</si>
</sst>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2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>
      <b/>
      <sz val="22.0"/>
      <color rgb="FF7F7F7F"/>
      <name val="Century Gothic"/>
    </font>
    <font>
      <b/>
      <sz val="10.0"/>
      <color theme="1"/>
      <name val="Century Gothic"/>
    </font>
    <font/>
    <font>
      <sz val="14.0"/>
      <color theme="1"/>
      <name val="Century Gothic"/>
    </font>
    <font>
      <sz val="10.0"/>
      <color rgb="FF000000"/>
      <name val="Century Gothic"/>
    </font>
    <font>
      <sz val="12.0"/>
      <color theme="1"/>
      <name val="Calibri"/>
    </font>
    <font>
      <sz val="22.0"/>
      <color rgb="FF595959"/>
      <name val="Century Gothic"/>
    </font>
    <font>
      <b/>
      <sz val="20.0"/>
      <color rgb="FF7F7F7F"/>
      <name val="Century Gothic"/>
    </font>
    <font>
      <sz val="11.0"/>
      <color rgb="FF000000"/>
      <name val="Century Gothic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FFD965"/>
        <bgColor rgb="FFFFD965"/>
      </patternFill>
    </fill>
    <fill>
      <patternFill patternType="solid">
        <fgColor rgb="FFEAEEF3"/>
        <bgColor rgb="FFEAEEF3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B6FBF5"/>
        <bgColor rgb="FFB6FBF5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</fills>
  <borders count="25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double">
        <color rgb="FFBFBFBF"/>
      </bottom>
    </border>
    <border>
      <left/>
      <right style="thin">
        <color rgb="FFBFBFBF"/>
      </right>
      <top style="thick">
        <color rgb="FFBFBFBF"/>
      </top>
      <bottom style="double">
        <color rgb="FFBFBFBF"/>
      </bottom>
    </border>
    <border>
      <left style="medium">
        <color rgb="FFBFBFBF"/>
      </left>
      <right style="medium">
        <color rgb="FFBFBFBF"/>
      </right>
      <top style="thick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medium">
        <color rgb="FFBFBFBF"/>
      </right>
      <top/>
      <bottom style="thin">
        <color rgb="FFBFBFBF"/>
      </bottom>
    </border>
    <border>
      <left style="medium">
        <color rgb="FFBFBFBF"/>
      </left>
      <right style="medium">
        <color rgb="FFBFBFBF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medium">
        <color rgb="FFBFBFBF"/>
      </left>
      <right style="medium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</border>
    <border>
      <left style="medium">
        <color rgb="FFBFBFBF"/>
      </left>
      <right style="medium">
        <color rgb="FFBFBFBF"/>
      </right>
      <top/>
      <bottom/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ont="1">
      <alignment vertical="center"/>
    </xf>
    <xf borderId="1" fillId="2" fontId="1" numFmtId="0" xfId="0" applyBorder="1" applyFont="1"/>
    <xf borderId="2" fillId="3" fontId="4" numFmtId="0" xfId="0" applyAlignment="1" applyBorder="1" applyFill="1" applyFont="1">
      <alignment horizontal="right" shrinkToFit="0" vertical="center" wrapText="1"/>
    </xf>
    <xf borderId="3" fillId="0" fontId="5" numFmtId="0" xfId="0" applyBorder="1" applyFont="1"/>
    <xf borderId="2" fillId="2" fontId="6" numFmtId="0" xfId="0" applyAlignment="1" applyBorder="1" applyFont="1">
      <alignment horizontal="left" vertical="center"/>
    </xf>
    <xf borderId="4" fillId="0" fontId="5" numFmtId="0" xfId="0" applyBorder="1" applyFont="1"/>
    <xf borderId="5" fillId="4" fontId="4" numFmtId="0" xfId="0" applyAlignment="1" applyBorder="1" applyFill="1" applyFont="1">
      <alignment horizontal="left" shrinkToFit="0" vertical="center" wrapText="1"/>
    </xf>
    <xf borderId="6" fillId="4" fontId="4" numFmtId="0" xfId="0" applyAlignment="1" applyBorder="1" applyFont="1">
      <alignment horizontal="left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6" fillId="4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center" shrinkToFit="0" vertical="center" wrapText="1"/>
    </xf>
    <xf borderId="9" fillId="5" fontId="1" numFmtId="0" xfId="0" applyAlignment="1" applyBorder="1" applyFill="1" applyFont="1">
      <alignment horizontal="center" shrinkToFit="0" vertical="center" wrapText="1"/>
    </xf>
    <xf borderId="9" fillId="5" fontId="7" numFmtId="0" xfId="0" applyAlignment="1" applyBorder="1" applyFont="1">
      <alignment horizontal="left" readingOrder="1" shrinkToFit="0" vertical="center" wrapText="1"/>
    </xf>
    <xf borderId="10" fillId="5" fontId="7" numFmtId="0" xfId="0" applyAlignment="1" applyBorder="1" applyFont="1">
      <alignment horizontal="center" readingOrder="1" shrinkToFit="0" vertical="center" wrapText="1"/>
    </xf>
    <xf borderId="10" fillId="5" fontId="7" numFmtId="164" xfId="0" applyAlignment="1" applyBorder="1" applyFont="1" applyNumberFormat="1">
      <alignment horizontal="center" readingOrder="1" shrinkToFit="0" vertical="center" wrapText="1"/>
    </xf>
    <xf borderId="11" fillId="5" fontId="7" numFmtId="0" xfId="0" applyAlignment="1" applyBorder="1" applyFont="1">
      <alignment horizontal="center" readingOrder="1" shrinkToFit="0" vertical="center" wrapText="1"/>
    </xf>
    <xf borderId="12" fillId="5" fontId="1" numFmtId="0" xfId="0" applyAlignment="1" applyBorder="1" applyFont="1">
      <alignment horizontal="left" shrinkToFit="0" vertical="center" wrapText="1"/>
    </xf>
    <xf borderId="10" fillId="5" fontId="7" numFmtId="0" xfId="0" applyAlignment="1" applyBorder="1" applyFont="1">
      <alignment horizontal="left" readingOrder="1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4" fillId="2" fontId="7" numFmtId="0" xfId="0" applyAlignment="1" applyBorder="1" applyFont="1">
      <alignment horizontal="left" readingOrder="1" shrinkToFit="0" vertical="center" wrapText="1"/>
    </xf>
    <xf borderId="14" fillId="2" fontId="7" numFmtId="0" xfId="0" applyAlignment="1" applyBorder="1" applyFont="1">
      <alignment horizontal="center" readingOrder="1" shrinkToFit="0" vertical="center" wrapText="1"/>
    </xf>
    <xf borderId="15" fillId="2" fontId="7" numFmtId="164" xfId="0" applyAlignment="1" applyBorder="1" applyFont="1" applyNumberFormat="1">
      <alignment horizontal="center" readingOrder="1" shrinkToFit="0" vertical="center" wrapText="1"/>
    </xf>
    <xf borderId="16" fillId="6" fontId="7" numFmtId="0" xfId="0" applyAlignment="1" applyBorder="1" applyFill="1" applyFont="1">
      <alignment horizontal="center" readingOrder="1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15" fillId="2" fontId="7" numFmtId="0" xfId="0" applyAlignment="1" applyBorder="1" applyFont="1">
      <alignment horizontal="left" readingOrder="1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6" fontId="7" numFmtId="0" xfId="0" applyAlignment="1" applyBorder="1" applyFont="1">
      <alignment horizontal="center" readingOrder="1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readingOrder="1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22" fillId="6" fontId="7" numFmtId="0" xfId="0" applyAlignment="1" applyBorder="1" applyFont="1">
      <alignment horizontal="center" readingOrder="1" shrinkToFit="0" vertical="center" wrapText="1"/>
    </xf>
    <xf borderId="9" fillId="7" fontId="1" numFmtId="0" xfId="0" applyAlignment="1" applyBorder="1" applyFill="1" applyFont="1">
      <alignment horizontal="center" shrinkToFit="0" vertical="center" wrapText="1"/>
    </xf>
    <xf borderId="9" fillId="7" fontId="1" numFmtId="0" xfId="0" applyAlignment="1" applyBorder="1" applyFont="1">
      <alignment horizontal="left" shrinkToFit="0" vertical="center" wrapText="1"/>
    </xf>
    <xf borderId="10" fillId="7" fontId="1" numFmtId="0" xfId="0" applyAlignment="1" applyBorder="1" applyFont="1">
      <alignment horizontal="center" shrinkToFit="0" vertical="center" wrapText="1"/>
    </xf>
    <xf borderId="12" fillId="7" fontId="1" numFmtId="164" xfId="0" applyAlignment="1" applyBorder="1" applyFont="1" applyNumberFormat="1">
      <alignment horizontal="center" shrinkToFit="0" vertical="center" wrapText="1"/>
    </xf>
    <xf borderId="10" fillId="7" fontId="1" numFmtId="164" xfId="0" applyAlignment="1" applyBorder="1" applyFont="1" applyNumberFormat="1">
      <alignment horizontal="center" shrinkToFit="0" vertical="center" wrapText="1"/>
    </xf>
    <xf borderId="11" fillId="7" fontId="7" numFmtId="0" xfId="0" applyAlignment="1" applyBorder="1" applyFont="1">
      <alignment horizontal="center" readingOrder="1" shrinkToFit="0" vertical="center" wrapText="1"/>
    </xf>
    <xf borderId="12" fillId="7" fontId="1" numFmtId="0" xfId="0" applyAlignment="1" applyBorder="1" applyFont="1">
      <alignment horizontal="left" shrinkToFit="0" vertical="center" wrapText="1"/>
    </xf>
    <xf borderId="10" fillId="7" fontId="1" numFmtId="0" xfId="0" applyAlignment="1" applyBorder="1" applyFont="1">
      <alignment horizontal="left" shrinkToFit="0" vertical="center" wrapText="1"/>
    </xf>
    <xf borderId="13" fillId="2" fontId="1" numFmtId="0" xfId="0" applyAlignment="1" applyBorder="1" applyFont="1">
      <alignment horizontal="left" shrinkToFit="0" vertical="center" wrapText="1"/>
    </xf>
    <xf borderId="9" fillId="2" fontId="1" numFmtId="0" xfId="0" applyAlignment="1" applyBorder="1" applyFont="1">
      <alignment horizontal="left" shrinkToFit="0" vertical="center" wrapText="1"/>
    </xf>
    <xf borderId="9" fillId="8" fontId="1" numFmtId="0" xfId="0" applyAlignment="1" applyBorder="1" applyFill="1" applyFont="1">
      <alignment horizontal="center" shrinkToFit="0" vertical="center" wrapText="1"/>
    </xf>
    <xf borderId="9" fillId="8" fontId="1" numFmtId="0" xfId="0" applyAlignment="1" applyBorder="1" applyFont="1">
      <alignment horizontal="left" shrinkToFit="0" vertical="center" wrapText="1"/>
    </xf>
    <xf borderId="10" fillId="8" fontId="1" numFmtId="0" xfId="0" applyAlignment="1" applyBorder="1" applyFont="1">
      <alignment horizontal="center" shrinkToFit="0" vertical="center" wrapText="1"/>
    </xf>
    <xf borderId="12" fillId="8" fontId="1" numFmtId="164" xfId="0" applyAlignment="1" applyBorder="1" applyFont="1" applyNumberFormat="1">
      <alignment horizontal="center" shrinkToFit="0" vertical="center" wrapText="1"/>
    </xf>
    <xf borderId="10" fillId="8" fontId="1" numFmtId="164" xfId="0" applyAlignment="1" applyBorder="1" applyFont="1" applyNumberFormat="1">
      <alignment horizontal="center" shrinkToFit="0" vertical="center" wrapText="1"/>
    </xf>
    <xf borderId="11" fillId="8" fontId="7" numFmtId="0" xfId="0" applyAlignment="1" applyBorder="1" applyFont="1">
      <alignment horizontal="center" readingOrder="1" shrinkToFit="0" vertical="center" wrapText="1"/>
    </xf>
    <xf borderId="12" fillId="8" fontId="1" numFmtId="0" xfId="0" applyAlignment="1" applyBorder="1" applyFont="1">
      <alignment horizontal="left" shrinkToFit="0" vertical="center" wrapText="1"/>
    </xf>
    <xf borderId="10" fillId="8" fontId="1" numFmtId="0" xfId="0" applyAlignment="1" applyBorder="1" applyFont="1">
      <alignment horizontal="left" shrinkToFit="0" vertical="center" wrapText="1"/>
    </xf>
    <xf borderId="23" fillId="2" fontId="1" numFmtId="164" xfId="0" applyAlignment="1" applyBorder="1" applyFont="1" applyNumberFormat="1">
      <alignment horizontal="center" shrinkToFit="0" vertical="center" wrapText="1"/>
    </xf>
    <xf borderId="15" fillId="2" fontId="1" numFmtId="164" xfId="0" applyAlignment="1" applyBorder="1" applyFont="1" applyNumberFormat="1">
      <alignment horizontal="center" shrinkToFit="0" vertical="center" wrapText="1"/>
    </xf>
    <xf borderId="12" fillId="2" fontId="1" numFmtId="164" xfId="0" applyAlignment="1" applyBorder="1" applyFont="1" applyNumberFormat="1">
      <alignment horizontal="center" shrinkToFit="0" vertical="center" wrapText="1"/>
    </xf>
    <xf borderId="10" fillId="2" fontId="1" numFmtId="164" xfId="0" applyAlignment="1" applyBorder="1" applyFont="1" applyNumberFormat="1">
      <alignment horizontal="center" shrinkToFit="0" vertical="center" wrapText="1"/>
    </xf>
    <xf borderId="11" fillId="6" fontId="7" numFmtId="0" xfId="0" applyAlignment="1" applyBorder="1" applyFont="1">
      <alignment horizontal="center" readingOrder="1" shrinkToFit="0" vertical="center" wrapText="1"/>
    </xf>
    <xf borderId="9" fillId="9" fontId="1" numFmtId="0" xfId="0" applyAlignment="1" applyBorder="1" applyFill="1" applyFont="1">
      <alignment horizontal="center" shrinkToFit="0" vertical="center" wrapText="1"/>
    </xf>
    <xf borderId="9" fillId="9" fontId="1" numFmtId="0" xfId="0" applyAlignment="1" applyBorder="1" applyFont="1">
      <alignment horizontal="left" shrinkToFit="0" vertical="center" wrapText="1"/>
    </xf>
    <xf borderId="10" fillId="9" fontId="1" numFmtId="0" xfId="0" applyAlignment="1" applyBorder="1" applyFont="1">
      <alignment horizontal="left" shrinkToFit="0" vertical="center" wrapText="1"/>
    </xf>
    <xf borderId="12" fillId="9" fontId="1" numFmtId="164" xfId="0" applyAlignment="1" applyBorder="1" applyFont="1" applyNumberFormat="1">
      <alignment horizontal="center" shrinkToFit="0" vertical="center" wrapText="1"/>
    </xf>
    <xf borderId="10" fillId="9" fontId="1" numFmtId="164" xfId="0" applyAlignment="1" applyBorder="1" applyFont="1" applyNumberFormat="1">
      <alignment horizontal="center" shrinkToFit="0" vertical="center" wrapText="1"/>
    </xf>
    <xf borderId="11" fillId="9" fontId="7" numFmtId="0" xfId="0" applyAlignment="1" applyBorder="1" applyFont="1">
      <alignment horizontal="center" readingOrder="1" shrinkToFit="0" vertical="center" wrapText="1"/>
    </xf>
    <xf borderId="12" fillId="9" fontId="1" numFmtId="0" xfId="0" applyAlignment="1" applyBorder="1" applyFont="1">
      <alignment horizontal="left" shrinkToFit="0" vertical="center" wrapText="1"/>
    </xf>
    <xf borderId="9" fillId="10" fontId="1" numFmtId="0" xfId="0" applyAlignment="1" applyBorder="1" applyFill="1" applyFont="1">
      <alignment horizontal="center" shrinkToFit="0" vertical="center" wrapText="1"/>
    </xf>
    <xf borderId="9" fillId="10" fontId="1" numFmtId="0" xfId="0" applyAlignment="1" applyBorder="1" applyFont="1">
      <alignment horizontal="left" readingOrder="0" shrinkToFit="0" vertical="center" wrapText="1"/>
    </xf>
    <xf borderId="9" fillId="10" fontId="1" numFmtId="0" xfId="0" applyAlignment="1" applyBorder="1" applyFont="1">
      <alignment horizontal="left" shrinkToFit="0" vertical="center" wrapText="1"/>
    </xf>
    <xf borderId="10" fillId="10" fontId="1" numFmtId="0" xfId="0" applyAlignment="1" applyBorder="1" applyFont="1">
      <alignment horizontal="left" shrinkToFit="0" vertical="center" wrapText="1"/>
    </xf>
    <xf borderId="12" fillId="10" fontId="1" numFmtId="164" xfId="0" applyAlignment="1" applyBorder="1" applyFont="1" applyNumberFormat="1">
      <alignment horizontal="center" shrinkToFit="0" vertical="center" wrapText="1"/>
    </xf>
    <xf borderId="10" fillId="10" fontId="1" numFmtId="164" xfId="0" applyAlignment="1" applyBorder="1" applyFont="1" applyNumberFormat="1">
      <alignment horizontal="center" shrinkToFit="0" vertical="center" wrapText="1"/>
    </xf>
    <xf borderId="11" fillId="10" fontId="7" numFmtId="0" xfId="0" applyAlignment="1" applyBorder="1" applyFont="1">
      <alignment horizontal="center" readingOrder="1" shrinkToFit="0" vertical="center" wrapText="1"/>
    </xf>
    <xf borderId="12" fillId="10" fontId="1" numFmtId="0" xfId="0" applyAlignment="1" applyBorder="1" applyFont="1">
      <alignment horizontal="left" shrinkToFit="0" vertical="center" wrapText="1"/>
    </xf>
    <xf borderId="9" fillId="11" fontId="1" numFmtId="0" xfId="0" applyAlignment="1" applyBorder="1" applyFill="1" applyFont="1">
      <alignment horizontal="center" shrinkToFit="0" vertical="center" wrapText="1"/>
    </xf>
    <xf borderId="9" fillId="11" fontId="1" numFmtId="0" xfId="0" applyAlignment="1" applyBorder="1" applyFont="1">
      <alignment horizontal="left" readingOrder="0" shrinkToFit="0" vertical="center" wrapText="1"/>
    </xf>
    <xf borderId="9" fillId="11" fontId="1" numFmtId="0" xfId="0" applyAlignment="1" applyBorder="1" applyFont="1">
      <alignment horizontal="left" shrinkToFit="0" vertical="center" wrapText="1"/>
    </xf>
    <xf borderId="10" fillId="11" fontId="1" numFmtId="0" xfId="0" applyAlignment="1" applyBorder="1" applyFont="1">
      <alignment horizontal="left" shrinkToFit="0" vertical="center" wrapText="1"/>
    </xf>
    <xf borderId="12" fillId="11" fontId="1" numFmtId="164" xfId="0" applyAlignment="1" applyBorder="1" applyFont="1" applyNumberFormat="1">
      <alignment horizontal="center" shrinkToFit="0" vertical="center" wrapText="1"/>
    </xf>
    <xf borderId="10" fillId="11" fontId="1" numFmtId="164" xfId="0" applyAlignment="1" applyBorder="1" applyFont="1" applyNumberFormat="1">
      <alignment horizontal="center" shrinkToFit="0" vertical="center" wrapText="1"/>
    </xf>
    <xf borderId="11" fillId="11" fontId="7" numFmtId="0" xfId="0" applyAlignment="1" applyBorder="1" applyFont="1">
      <alignment horizontal="center" readingOrder="1" shrinkToFit="0" vertical="center" wrapText="1"/>
    </xf>
    <xf borderId="12" fillId="11" fontId="1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shrinkToFit="0" vertical="center" wrapText="1"/>
    </xf>
    <xf borderId="1" fillId="2" fontId="9" numFmtId="0" xfId="0" applyAlignment="1" applyBorder="1" applyFont="1">
      <alignment vertical="top"/>
    </xf>
    <xf borderId="1" fillId="2" fontId="10" numFmtId="0" xfId="0" applyAlignment="1" applyBorder="1" applyFont="1">
      <alignment vertical="center"/>
    </xf>
    <xf borderId="1" fillId="2" fontId="1" numFmtId="0" xfId="0" applyAlignment="1" applyBorder="1" applyFont="1">
      <alignment horizontal="left" shrinkToFit="0" vertical="center" wrapText="1"/>
    </xf>
    <xf borderId="24" fillId="12" fontId="4" numFmtId="0" xfId="0" applyAlignment="1" applyBorder="1" applyFill="1" applyFont="1">
      <alignment horizontal="center" shrinkToFit="0" vertical="center" wrapText="1"/>
    </xf>
    <xf borderId="13" fillId="13" fontId="7" numFmtId="0" xfId="0" applyAlignment="1" applyBorder="1" applyFill="1" applyFont="1">
      <alignment horizontal="center" vertical="center"/>
    </xf>
    <xf borderId="13" fillId="12" fontId="7" numFmtId="0" xfId="0" applyAlignment="1" applyBorder="1" applyFont="1">
      <alignment horizontal="center" vertical="center"/>
    </xf>
    <xf borderId="13" fillId="2" fontId="7" numFmtId="0" xfId="0" applyAlignment="1" applyBorder="1" applyFont="1">
      <alignment horizontal="left" readingOrder="1" shrinkToFit="0" vertical="center" wrapText="1"/>
    </xf>
    <xf borderId="13" fillId="14" fontId="1" numFmtId="0" xfId="0" applyAlignment="1" applyBorder="1" applyFill="1" applyFont="1">
      <alignment horizontal="left" shrinkToFit="0" vertical="center" wrapText="1"/>
    </xf>
    <xf borderId="13" fillId="15" fontId="1" numFmtId="0" xfId="0" applyAlignment="1" applyBorder="1" applyFill="1" applyFont="1">
      <alignment horizontal="left" shrinkToFit="0" vertical="center" wrapText="1"/>
    </xf>
    <xf borderId="13" fillId="5" fontId="1" numFmtId="0" xfId="0" applyAlignment="1" applyBorder="1" applyFont="1">
      <alignment horizontal="left" shrinkToFit="0" vertical="center" wrapText="1"/>
    </xf>
    <xf borderId="13" fillId="12" fontId="1" numFmtId="0" xfId="0" applyAlignment="1" applyBorder="1" applyFont="1">
      <alignment horizontal="left" shrinkToFit="0" vertical="center" wrapText="1"/>
    </xf>
    <xf borderId="13" fillId="0" fontId="1" numFmtId="0" xfId="0" applyAlignment="1" applyBorder="1" applyFont="1">
      <alignment horizontal="left" shrinkToFit="0" vertical="center" wrapText="1"/>
    </xf>
    <xf borderId="0" fillId="0" fontId="11" numFmtId="0" xfId="0" applyFont="1"/>
  </cellXfs>
  <cellStyles count="1">
    <cellStyle xfId="0" name="Normal" builtinId="0"/>
  </cellStyles>
  <dxfs count="9"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6FBF5"/>
          <bgColor rgb="FFB6FBF5"/>
        </patternFill>
      </fill>
      <border/>
    </dxf>
    <dxf>
      <font/>
      <fill>
        <patternFill patternType="solid">
          <fgColor rgb="FFE1FBFB"/>
          <bgColor rgb="FFE1FBFB"/>
        </patternFill>
      </fill>
      <border/>
    </dxf>
    <dxf>
      <font/>
      <fill>
        <patternFill patternType="solid">
          <fgColor rgb="FF5EE9E7"/>
          <bgColor rgb="FF5EE9E7"/>
        </patternFill>
      </fill>
      <border/>
    </dxf>
    <dxf>
      <font/>
      <fill>
        <patternFill patternType="solid">
          <fgColor rgb="FFABEFEA"/>
          <bgColor rgb="FFABEFEA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>
        <color theme="1"/>
      </font>
      <fill>
        <patternFill patternType="solid">
          <fgColor rgb="FF03C25B"/>
          <bgColor rgb="FF03C25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'BLANK - Agile Release Plan'!$C$6:$C$68</c:f>
            </c:strRef>
          </c:cat>
          <c:val>
            <c:numRef>
              <c:f>'BLANK - Agile Release Plan'!$G$6:$G$43</c:f>
              <c:numCache/>
            </c:numRef>
          </c:val>
        </c:ser>
        <c:ser>
          <c:idx val="1"/>
          <c:order val="1"/>
          <c:tx>
            <c:v>DURATION
in days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C7E683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C7E683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C7E683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9FDEEC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9FDEEC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9FDEEC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'BLANK - Agile Release Plan'!$C$6:$C$68</c:f>
            </c:strRef>
          </c:cat>
          <c:val>
            <c:numRef>
              <c:f>'BLANK - Agile Release Plan'!$I$6:$I$43</c:f>
              <c:numCache/>
            </c:numRef>
          </c:val>
        </c:ser>
        <c:overlap val="100"/>
        <c:axId val="2030449234"/>
        <c:axId val="1529831353"/>
      </c:barChart>
      <c:catAx>
        <c:axId val="20304492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1529831353"/>
      </c:catAx>
      <c:valAx>
        <c:axId val="1529831353"/>
        <c:scaling>
          <c:orientation val="minMax"/>
          <c:min val="459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2030449234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67</xdr:row>
      <xdr:rowOff>447675</xdr:rowOff>
    </xdr:from>
    <xdr:ext cx="15459075" cy="4114800"/>
    <xdr:graphicFrame>
      <xdr:nvGraphicFramePr>
        <xdr:cNvPr id="104048520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7.44"/>
    <col customWidth="1" min="3" max="4" width="19.89"/>
    <col customWidth="1" min="5" max="5" width="17.0"/>
    <col customWidth="1" min="6" max="6" width="12.33"/>
    <col customWidth="1" min="7" max="7" width="11.0"/>
    <col customWidth="1" min="8" max="8" width="10.33"/>
    <col customWidth="1" min="9" max="9" width="12.89"/>
    <col customWidth="1" min="10" max="10" width="14.44"/>
    <col customWidth="1" min="11" max="11" width="15.22"/>
    <col customWidth="1" min="12" max="12" width="3.33"/>
    <col customWidth="1" min="13" max="31" width="11.0"/>
  </cols>
  <sheetData>
    <row r="1" ht="49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34.5" customHeight="1">
      <c r="A2" s="1"/>
      <c r="B2" s="5" t="s">
        <v>1</v>
      </c>
      <c r="C2" s="6"/>
      <c r="D2" s="7" t="s">
        <v>2</v>
      </c>
      <c r="E2" s="8"/>
      <c r="F2" s="6"/>
      <c r="G2" s="3"/>
      <c r="H2" s="3"/>
      <c r="I2" s="3"/>
      <c r="J2" s="3"/>
      <c r="K2" s="3"/>
      <c r="L2" s="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t="34.5" customHeight="1">
      <c r="A3" s="1"/>
      <c r="B3" s="5" t="s">
        <v>3</v>
      </c>
      <c r="C3" s="6"/>
      <c r="D3" s="7" t="s">
        <v>2</v>
      </c>
      <c r="E3" s="8"/>
      <c r="F3" s="6"/>
      <c r="G3" s="3"/>
      <c r="H3" s="3"/>
      <c r="I3" s="3"/>
      <c r="J3" s="3"/>
      <c r="K3" s="3"/>
      <c r="L3" s="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5.0" customHeight="1">
      <c r="A4" s="1"/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ht="36.0" customHeight="1">
      <c r="A5" s="1"/>
      <c r="B5" s="9" t="s">
        <v>4</v>
      </c>
      <c r="C5" s="9" t="s">
        <v>5</v>
      </c>
      <c r="D5" s="9" t="s">
        <v>6</v>
      </c>
      <c r="E5" s="9" t="s">
        <v>7</v>
      </c>
      <c r="F5" s="10" t="s">
        <v>8</v>
      </c>
      <c r="G5" s="11" t="s">
        <v>9</v>
      </c>
      <c r="H5" s="12" t="s">
        <v>10</v>
      </c>
      <c r="I5" s="13" t="s">
        <v>11</v>
      </c>
      <c r="J5" s="11" t="s">
        <v>12</v>
      </c>
      <c r="K5" s="10" t="s">
        <v>13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ht="30.0" customHeight="1">
      <c r="A6" s="1"/>
      <c r="B6" s="14"/>
      <c r="C6" s="15" t="s">
        <v>14</v>
      </c>
      <c r="D6" s="15"/>
      <c r="E6" s="15"/>
      <c r="F6" s="16">
        <f>SUM(F7:F16)</f>
        <v>26</v>
      </c>
      <c r="G6" s="17">
        <f>MIN(G7:G16)</f>
        <v>46113</v>
      </c>
      <c r="H6" s="17">
        <f>MAX(H7:H16)</f>
        <v>46127</v>
      </c>
      <c r="I6" s="18">
        <f t="shared" ref="I6:I23" si="1">IF(H6=0,"",H6-G6+1)</f>
        <v>15</v>
      </c>
      <c r="J6" s="19"/>
      <c r="K6" s="2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ht="30.0" customHeight="1">
      <c r="A7" s="1"/>
      <c r="B7" s="21"/>
      <c r="C7" s="22" t="s">
        <v>15</v>
      </c>
      <c r="D7" s="22" t="s">
        <v>16</v>
      </c>
      <c r="E7" s="22" t="s">
        <v>17</v>
      </c>
      <c r="F7" s="23">
        <v>3.0</v>
      </c>
      <c r="G7" s="24">
        <v>46113.0</v>
      </c>
      <c r="H7" s="24">
        <v>46114.0</v>
      </c>
      <c r="I7" s="25">
        <f t="shared" si="1"/>
        <v>2</v>
      </c>
      <c r="J7" s="26" t="s">
        <v>18</v>
      </c>
      <c r="K7" s="27" t="s">
        <v>19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ht="30.0" customHeight="1">
      <c r="A8" s="1"/>
      <c r="B8" s="21"/>
      <c r="C8" s="22" t="s">
        <v>20</v>
      </c>
      <c r="D8" s="22" t="s">
        <v>16</v>
      </c>
      <c r="E8" s="22" t="s">
        <v>21</v>
      </c>
      <c r="F8" s="23">
        <v>5.0</v>
      </c>
      <c r="G8" s="24">
        <v>46114.0</v>
      </c>
      <c r="H8" s="24">
        <v>46117.0</v>
      </c>
      <c r="I8" s="25">
        <f t="shared" si="1"/>
        <v>4</v>
      </c>
      <c r="J8" s="26" t="s">
        <v>18</v>
      </c>
      <c r="K8" s="27" t="s">
        <v>19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ht="30.0" customHeight="1">
      <c r="A9" s="1"/>
      <c r="B9" s="28"/>
      <c r="C9" s="22" t="s">
        <v>22</v>
      </c>
      <c r="D9" s="22" t="s">
        <v>16</v>
      </c>
      <c r="E9" s="22" t="s">
        <v>17</v>
      </c>
      <c r="F9" s="23">
        <v>3.0</v>
      </c>
      <c r="G9" s="24">
        <v>46115.0</v>
      </c>
      <c r="H9" s="24">
        <v>46118.0</v>
      </c>
      <c r="I9" s="29">
        <f t="shared" si="1"/>
        <v>4</v>
      </c>
      <c r="J9" s="26" t="s">
        <v>18</v>
      </c>
      <c r="K9" s="27" t="s">
        <v>19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ht="30.0" customHeight="1">
      <c r="A10" s="1"/>
      <c r="B10" s="28"/>
      <c r="C10" s="22" t="s">
        <v>23</v>
      </c>
      <c r="D10" s="22" t="s">
        <v>16</v>
      </c>
      <c r="E10" s="22" t="s">
        <v>21</v>
      </c>
      <c r="F10" s="23">
        <v>2.0</v>
      </c>
      <c r="G10" s="24">
        <v>46117.0</v>
      </c>
      <c r="H10" s="24">
        <v>46119.0</v>
      </c>
      <c r="I10" s="29">
        <f t="shared" si="1"/>
        <v>3</v>
      </c>
      <c r="J10" s="26" t="s">
        <v>18</v>
      </c>
      <c r="K10" s="27" t="s">
        <v>19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30.0" customHeight="1">
      <c r="A11" s="1"/>
      <c r="B11" s="28"/>
      <c r="C11" s="22" t="s">
        <v>24</v>
      </c>
      <c r="D11" s="22" t="s">
        <v>25</v>
      </c>
      <c r="E11" s="22" t="s">
        <v>17</v>
      </c>
      <c r="F11" s="23">
        <v>3.0</v>
      </c>
      <c r="G11" s="24">
        <v>46118.0</v>
      </c>
      <c r="H11" s="24">
        <v>46119.0</v>
      </c>
      <c r="I11" s="29">
        <f t="shared" si="1"/>
        <v>2</v>
      </c>
      <c r="J11" s="26" t="s">
        <v>18</v>
      </c>
      <c r="K11" s="27" t="s">
        <v>19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ht="30.0" customHeight="1">
      <c r="A12" s="1"/>
      <c r="B12" s="28"/>
      <c r="C12" s="22" t="s">
        <v>26</v>
      </c>
      <c r="D12" s="22" t="s">
        <v>25</v>
      </c>
      <c r="E12" s="22" t="s">
        <v>21</v>
      </c>
      <c r="F12" s="23">
        <v>2.0</v>
      </c>
      <c r="G12" s="24">
        <v>46120.0</v>
      </c>
      <c r="H12" s="24">
        <v>46121.0</v>
      </c>
      <c r="I12" s="29">
        <f t="shared" si="1"/>
        <v>2</v>
      </c>
      <c r="J12" s="26" t="s">
        <v>18</v>
      </c>
      <c r="K12" s="27" t="s">
        <v>19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t="30.0" customHeight="1">
      <c r="A13" s="1"/>
      <c r="B13" s="28"/>
      <c r="C13" s="22" t="s">
        <v>27</v>
      </c>
      <c r="D13" s="22" t="s">
        <v>25</v>
      </c>
      <c r="E13" s="22" t="s">
        <v>17</v>
      </c>
      <c r="F13" s="23">
        <v>2.0</v>
      </c>
      <c r="G13" s="24">
        <v>46122.0</v>
      </c>
      <c r="H13" s="24">
        <v>46123.0</v>
      </c>
      <c r="I13" s="29">
        <f t="shared" si="1"/>
        <v>2</v>
      </c>
      <c r="J13" s="26" t="s">
        <v>18</v>
      </c>
      <c r="K13" s="27" t="s">
        <v>19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ht="30.0" customHeight="1">
      <c r="A14" s="1"/>
      <c r="B14" s="30"/>
      <c r="C14" s="22" t="s">
        <v>28</v>
      </c>
      <c r="D14" s="22" t="s">
        <v>25</v>
      </c>
      <c r="E14" s="22" t="s">
        <v>21</v>
      </c>
      <c r="F14" s="23">
        <v>2.0</v>
      </c>
      <c r="G14" s="24">
        <v>46124.0</v>
      </c>
      <c r="H14" s="24">
        <v>46125.0</v>
      </c>
      <c r="I14" s="31">
        <f t="shared" si="1"/>
        <v>2</v>
      </c>
      <c r="J14" s="26" t="s">
        <v>18</v>
      </c>
      <c r="K14" s="27" t="s">
        <v>19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ht="30.0" customHeight="1">
      <c r="A15" s="1"/>
      <c r="B15" s="32"/>
      <c r="C15" s="22" t="s">
        <v>29</v>
      </c>
      <c r="D15" s="22" t="s">
        <v>25</v>
      </c>
      <c r="E15" s="22" t="s">
        <v>17</v>
      </c>
      <c r="F15" s="23">
        <v>2.0</v>
      </c>
      <c r="G15" s="24">
        <v>46125.0</v>
      </c>
      <c r="H15" s="24">
        <v>46126.0</v>
      </c>
      <c r="I15" s="33">
        <f t="shared" si="1"/>
        <v>2</v>
      </c>
      <c r="J15" s="26" t="s">
        <v>18</v>
      </c>
      <c r="K15" s="27" t="s">
        <v>19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ht="30.0" customHeight="1">
      <c r="A16" s="1"/>
      <c r="B16" s="32"/>
      <c r="C16" s="22" t="s">
        <v>30</v>
      </c>
      <c r="D16" s="22" t="s">
        <v>25</v>
      </c>
      <c r="E16" s="22" t="s">
        <v>21</v>
      </c>
      <c r="F16" s="23">
        <v>2.0</v>
      </c>
      <c r="G16" s="24">
        <v>46126.0</v>
      </c>
      <c r="H16" s="24">
        <v>46127.0</v>
      </c>
      <c r="I16" s="33">
        <f t="shared" si="1"/>
        <v>2</v>
      </c>
      <c r="J16" s="26" t="s">
        <v>18</v>
      </c>
      <c r="K16" s="27" t="s">
        <v>19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ht="30.0" customHeight="1">
      <c r="A17" s="1"/>
      <c r="B17" s="34"/>
      <c r="C17" s="35" t="s">
        <v>31</v>
      </c>
      <c r="D17" s="35"/>
      <c r="E17" s="35"/>
      <c r="F17" s="36">
        <f>SUM(F18:F29)</f>
        <v>42</v>
      </c>
      <c r="G17" s="37">
        <f>MIN(G18:G29)</f>
        <v>46128</v>
      </c>
      <c r="H17" s="38">
        <f>MAX(H18:H29)</f>
        <v>46142</v>
      </c>
      <c r="I17" s="39">
        <f t="shared" si="1"/>
        <v>15</v>
      </c>
      <c r="J17" s="40"/>
      <c r="K17" s="4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ht="30.0" customHeight="1">
      <c r="A18" s="1"/>
      <c r="B18" s="42"/>
      <c r="C18" s="42" t="s">
        <v>32</v>
      </c>
      <c r="D18" s="42" t="s">
        <v>33</v>
      </c>
      <c r="E18" s="22" t="s">
        <v>17</v>
      </c>
      <c r="F18" s="23">
        <v>5.0</v>
      </c>
      <c r="G18" s="24">
        <v>46128.0</v>
      </c>
      <c r="H18" s="24">
        <v>46130.0</v>
      </c>
      <c r="I18" s="25">
        <f t="shared" si="1"/>
        <v>3</v>
      </c>
      <c r="J18" s="26" t="s">
        <v>18</v>
      </c>
      <c r="K18" s="27" t="s">
        <v>19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ht="30.0" customHeight="1">
      <c r="A19" s="1"/>
      <c r="B19" s="42"/>
      <c r="C19" s="42" t="s">
        <v>34</v>
      </c>
      <c r="D19" s="42" t="s">
        <v>33</v>
      </c>
      <c r="E19" s="22" t="s">
        <v>21</v>
      </c>
      <c r="F19" s="23">
        <v>5.0</v>
      </c>
      <c r="G19" s="24">
        <v>46129.0</v>
      </c>
      <c r="H19" s="24">
        <v>46131.0</v>
      </c>
      <c r="I19" s="25">
        <f t="shared" si="1"/>
        <v>3</v>
      </c>
      <c r="J19" s="26" t="s">
        <v>18</v>
      </c>
      <c r="K19" s="27" t="s">
        <v>19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ht="30.0" customHeight="1">
      <c r="A20" s="1"/>
      <c r="B20" s="42"/>
      <c r="C20" s="42" t="s">
        <v>35</v>
      </c>
      <c r="D20" s="42" t="s">
        <v>33</v>
      </c>
      <c r="E20" s="22" t="s">
        <v>17</v>
      </c>
      <c r="F20" s="23">
        <v>3.0</v>
      </c>
      <c r="G20" s="24">
        <v>46130.0</v>
      </c>
      <c r="H20" s="24">
        <v>46131.0</v>
      </c>
      <c r="I20" s="29">
        <f t="shared" si="1"/>
        <v>2</v>
      </c>
      <c r="J20" s="26" t="s">
        <v>18</v>
      </c>
      <c r="K20" s="27" t="s">
        <v>19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ht="30.0" customHeight="1">
      <c r="A21" s="1"/>
      <c r="B21" s="42"/>
      <c r="C21" s="42" t="s">
        <v>36</v>
      </c>
      <c r="D21" s="42" t="s">
        <v>33</v>
      </c>
      <c r="E21" s="22" t="s">
        <v>21</v>
      </c>
      <c r="F21" s="23">
        <v>3.0</v>
      </c>
      <c r="G21" s="24">
        <v>46131.0</v>
      </c>
      <c r="H21" s="24">
        <v>46132.0</v>
      </c>
      <c r="I21" s="29">
        <f t="shared" si="1"/>
        <v>2</v>
      </c>
      <c r="J21" s="26" t="s">
        <v>18</v>
      </c>
      <c r="K21" s="27" t="s">
        <v>19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ht="30.0" customHeight="1">
      <c r="A22" s="1"/>
      <c r="B22" s="42"/>
      <c r="C22" s="42" t="s">
        <v>37</v>
      </c>
      <c r="D22" s="42" t="s">
        <v>33</v>
      </c>
      <c r="E22" s="22" t="s">
        <v>17</v>
      </c>
      <c r="F22" s="23">
        <v>5.0</v>
      </c>
      <c r="G22" s="24">
        <v>46132.0</v>
      </c>
      <c r="H22" s="24">
        <v>46133.0</v>
      </c>
      <c r="I22" s="29">
        <f t="shared" si="1"/>
        <v>2</v>
      </c>
      <c r="J22" s="26" t="s">
        <v>18</v>
      </c>
      <c r="K22" s="27" t="s">
        <v>19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ht="30.0" customHeight="1">
      <c r="A23" s="1"/>
      <c r="B23" s="42"/>
      <c r="C23" s="42" t="s">
        <v>38</v>
      </c>
      <c r="D23" s="42" t="s">
        <v>39</v>
      </c>
      <c r="E23" s="22" t="s">
        <v>21</v>
      </c>
      <c r="F23" s="23">
        <v>5.0</v>
      </c>
      <c r="G23" s="24">
        <v>46134.0</v>
      </c>
      <c r="H23" s="24">
        <v>46135.0</v>
      </c>
      <c r="I23" s="29">
        <f t="shared" si="1"/>
        <v>2</v>
      </c>
      <c r="J23" s="26" t="s">
        <v>18</v>
      </c>
      <c r="K23" s="27" t="s">
        <v>19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ht="30.0" customHeight="1">
      <c r="A24" s="1"/>
      <c r="B24" s="42"/>
      <c r="C24" s="42" t="s">
        <v>40</v>
      </c>
      <c r="D24" s="42" t="s">
        <v>39</v>
      </c>
      <c r="E24" s="22" t="s">
        <v>17</v>
      </c>
      <c r="F24" s="23">
        <v>3.0</v>
      </c>
      <c r="G24" s="24">
        <v>46136.0</v>
      </c>
      <c r="H24" s="24">
        <v>46137.0</v>
      </c>
      <c r="I24" s="29">
        <f>H24-G24</f>
        <v>1</v>
      </c>
      <c r="J24" s="26" t="s">
        <v>18</v>
      </c>
      <c r="K24" s="27" t="s">
        <v>19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ht="30.0" customHeight="1">
      <c r="A25" s="1"/>
      <c r="B25" s="42"/>
      <c r="C25" s="42" t="s">
        <v>41</v>
      </c>
      <c r="D25" s="42" t="s">
        <v>42</v>
      </c>
      <c r="E25" s="22" t="s">
        <v>21</v>
      </c>
      <c r="F25" s="23">
        <v>2.0</v>
      </c>
      <c r="G25" s="24">
        <v>46136.0</v>
      </c>
      <c r="H25" s="24">
        <v>46138.0</v>
      </c>
      <c r="I25" s="29">
        <f t="shared" ref="I25:I55" si="2">IF(H25=0,"",H25-G25+1)</f>
        <v>3</v>
      </c>
      <c r="J25" s="26" t="s">
        <v>18</v>
      </c>
      <c r="K25" s="27" t="s">
        <v>19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ht="30.0" customHeight="1">
      <c r="A26" s="1"/>
      <c r="B26" s="42"/>
      <c r="C26" s="42" t="s">
        <v>43</v>
      </c>
      <c r="D26" s="42" t="s">
        <v>42</v>
      </c>
      <c r="E26" s="22" t="s">
        <v>17</v>
      </c>
      <c r="F26" s="23">
        <v>3.0</v>
      </c>
      <c r="G26" s="24">
        <v>46137.0</v>
      </c>
      <c r="H26" s="24">
        <v>46138.0</v>
      </c>
      <c r="I26" s="29">
        <f t="shared" si="2"/>
        <v>2</v>
      </c>
      <c r="J26" s="26" t="s">
        <v>18</v>
      </c>
      <c r="K26" s="27" t="s">
        <v>19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ht="30.0" customHeight="1">
      <c r="A27" s="1"/>
      <c r="B27" s="42"/>
      <c r="C27" s="42" t="s">
        <v>44</v>
      </c>
      <c r="D27" s="42" t="s">
        <v>42</v>
      </c>
      <c r="E27" s="22" t="s">
        <v>21</v>
      </c>
      <c r="F27" s="23">
        <v>2.0</v>
      </c>
      <c r="G27" s="24">
        <v>46139.0</v>
      </c>
      <c r="H27" s="24">
        <v>46140.0</v>
      </c>
      <c r="I27" s="29">
        <f t="shared" si="2"/>
        <v>2</v>
      </c>
      <c r="J27" s="26" t="s">
        <v>18</v>
      </c>
      <c r="K27" s="27" t="s">
        <v>19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ht="30.0" customHeight="1">
      <c r="A28" s="1"/>
      <c r="B28" s="42"/>
      <c r="C28" s="42" t="s">
        <v>45</v>
      </c>
      <c r="D28" s="42" t="s">
        <v>46</v>
      </c>
      <c r="E28" s="22" t="s">
        <v>17</v>
      </c>
      <c r="F28" s="23">
        <v>3.0</v>
      </c>
      <c r="G28" s="24">
        <v>46139.0</v>
      </c>
      <c r="H28" s="24">
        <v>46141.0</v>
      </c>
      <c r="I28" s="31">
        <f t="shared" si="2"/>
        <v>3</v>
      </c>
      <c r="J28" s="26" t="s">
        <v>18</v>
      </c>
      <c r="K28" s="27" t="s">
        <v>19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ht="30.0" customHeight="1">
      <c r="A29" s="1"/>
      <c r="B29" s="43"/>
      <c r="C29" s="42" t="s">
        <v>47</v>
      </c>
      <c r="D29" s="42" t="s">
        <v>46</v>
      </c>
      <c r="E29" s="22" t="s">
        <v>21</v>
      </c>
      <c r="F29" s="23">
        <v>3.0</v>
      </c>
      <c r="G29" s="24">
        <v>46140.0</v>
      </c>
      <c r="H29" s="24">
        <v>46142.0</v>
      </c>
      <c r="I29" s="33">
        <f t="shared" si="2"/>
        <v>3</v>
      </c>
      <c r="J29" s="26" t="s">
        <v>18</v>
      </c>
      <c r="K29" s="27" t="s">
        <v>19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ht="30.0" customHeight="1">
      <c r="A30" s="1"/>
      <c r="B30" s="44"/>
      <c r="C30" s="45" t="s">
        <v>48</v>
      </c>
      <c r="D30" s="45"/>
      <c r="E30" s="45"/>
      <c r="F30" s="46">
        <f>SUM(F31:F38)</f>
        <v>21</v>
      </c>
      <c r="G30" s="47">
        <f>MIN(G31:G38)</f>
        <v>46143</v>
      </c>
      <c r="H30" s="48">
        <f>MAX(H31:H38)</f>
        <v>46157</v>
      </c>
      <c r="I30" s="49">
        <f t="shared" si="2"/>
        <v>15</v>
      </c>
      <c r="J30" s="50"/>
      <c r="K30" s="5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ht="30.0" customHeight="1">
      <c r="A31" s="1"/>
      <c r="B31" s="42"/>
      <c r="C31" s="42" t="s">
        <v>49</v>
      </c>
      <c r="D31" s="42" t="s">
        <v>50</v>
      </c>
      <c r="E31" s="22" t="s">
        <v>17</v>
      </c>
      <c r="F31" s="23">
        <v>3.0</v>
      </c>
      <c r="G31" s="52">
        <v>46143.0</v>
      </c>
      <c r="H31" s="53">
        <v>46145.0</v>
      </c>
      <c r="I31" s="25">
        <f t="shared" si="2"/>
        <v>3</v>
      </c>
      <c r="J31" s="26" t="s">
        <v>18</v>
      </c>
      <c r="K31" s="27" t="s">
        <v>19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ht="30.0" customHeight="1">
      <c r="A32" s="1"/>
      <c r="B32" s="42"/>
      <c r="C32" s="42" t="s">
        <v>51</v>
      </c>
      <c r="D32" s="42" t="s">
        <v>50</v>
      </c>
      <c r="E32" s="22" t="s">
        <v>21</v>
      </c>
      <c r="F32" s="23">
        <v>2.0</v>
      </c>
      <c r="G32" s="52">
        <v>46146.0</v>
      </c>
      <c r="H32" s="53">
        <v>46148.0</v>
      </c>
      <c r="I32" s="25">
        <f t="shared" si="2"/>
        <v>3</v>
      </c>
      <c r="J32" s="26" t="s">
        <v>18</v>
      </c>
      <c r="K32" s="27" t="s">
        <v>19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ht="30.0" customHeight="1">
      <c r="A33" s="1"/>
      <c r="B33" s="42"/>
      <c r="C33" s="42" t="s">
        <v>52</v>
      </c>
      <c r="D33" s="42" t="s">
        <v>50</v>
      </c>
      <c r="E33" s="22" t="s">
        <v>17</v>
      </c>
      <c r="F33" s="23">
        <v>3.0</v>
      </c>
      <c r="G33" s="52">
        <v>46147.0</v>
      </c>
      <c r="H33" s="53">
        <v>46148.0</v>
      </c>
      <c r="I33" s="25">
        <f t="shared" si="2"/>
        <v>2</v>
      </c>
      <c r="J33" s="26" t="s">
        <v>18</v>
      </c>
      <c r="K33" s="27" t="s">
        <v>19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ht="30.0" customHeight="1">
      <c r="A34" s="1"/>
      <c r="B34" s="42"/>
      <c r="C34" s="42" t="s">
        <v>53</v>
      </c>
      <c r="D34" s="42" t="s">
        <v>50</v>
      </c>
      <c r="E34" s="22" t="s">
        <v>21</v>
      </c>
      <c r="F34" s="23">
        <v>3.0</v>
      </c>
      <c r="G34" s="54">
        <v>46149.0</v>
      </c>
      <c r="H34" s="55">
        <v>46150.0</v>
      </c>
      <c r="I34" s="56">
        <f t="shared" si="2"/>
        <v>2</v>
      </c>
      <c r="J34" s="26" t="s">
        <v>18</v>
      </c>
      <c r="K34" s="27" t="s">
        <v>19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ht="30.0" customHeight="1">
      <c r="A35" s="1"/>
      <c r="B35" s="42"/>
      <c r="C35" s="42" t="s">
        <v>54</v>
      </c>
      <c r="D35" s="42" t="s">
        <v>55</v>
      </c>
      <c r="E35" s="22" t="s">
        <v>17</v>
      </c>
      <c r="F35" s="23">
        <v>3.0</v>
      </c>
      <c r="G35" s="54">
        <v>46151.0</v>
      </c>
      <c r="H35" s="55">
        <v>46154.0</v>
      </c>
      <c r="I35" s="56">
        <f t="shared" si="2"/>
        <v>4</v>
      </c>
      <c r="J35" s="26" t="s">
        <v>18</v>
      </c>
      <c r="K35" s="27" t="s">
        <v>19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ht="30.0" customHeight="1">
      <c r="A36" s="1"/>
      <c r="B36" s="42"/>
      <c r="C36" s="42" t="s">
        <v>56</v>
      </c>
      <c r="D36" s="42" t="s">
        <v>55</v>
      </c>
      <c r="E36" s="22" t="s">
        <v>21</v>
      </c>
      <c r="F36" s="23">
        <v>2.0</v>
      </c>
      <c r="G36" s="54">
        <v>46153.0</v>
      </c>
      <c r="H36" s="55">
        <v>46155.0</v>
      </c>
      <c r="I36" s="56">
        <f t="shared" si="2"/>
        <v>3</v>
      </c>
      <c r="J36" s="26" t="s">
        <v>18</v>
      </c>
      <c r="K36" s="27" t="s">
        <v>19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ht="30.0" customHeight="1">
      <c r="A37" s="1"/>
      <c r="B37" s="42"/>
      <c r="C37" s="42" t="s">
        <v>57</v>
      </c>
      <c r="D37" s="42" t="s">
        <v>55</v>
      </c>
      <c r="E37" s="22" t="s">
        <v>17</v>
      </c>
      <c r="F37" s="23">
        <v>3.0</v>
      </c>
      <c r="G37" s="54">
        <v>46154.0</v>
      </c>
      <c r="H37" s="55">
        <v>46155.0</v>
      </c>
      <c r="I37" s="56">
        <f t="shared" si="2"/>
        <v>2</v>
      </c>
      <c r="J37" s="26" t="s">
        <v>18</v>
      </c>
      <c r="K37" s="27" t="s">
        <v>19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ht="30.0" customHeight="1">
      <c r="A38" s="1"/>
      <c r="B38" s="42"/>
      <c r="C38" s="42" t="s">
        <v>58</v>
      </c>
      <c r="D38" s="42" t="s">
        <v>55</v>
      </c>
      <c r="E38" s="22" t="s">
        <v>21</v>
      </c>
      <c r="F38" s="23">
        <v>2.0</v>
      </c>
      <c r="G38" s="54">
        <v>46156.0</v>
      </c>
      <c r="H38" s="55">
        <v>46157.0</v>
      </c>
      <c r="I38" s="56">
        <f t="shared" si="2"/>
        <v>2</v>
      </c>
      <c r="J38" s="26" t="s">
        <v>18</v>
      </c>
      <c r="K38" s="27" t="s">
        <v>19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t="30.0" customHeight="1">
      <c r="A39" s="1"/>
      <c r="B39" s="57"/>
      <c r="C39" s="58" t="s">
        <v>59</v>
      </c>
      <c r="D39" s="58"/>
      <c r="E39" s="58"/>
      <c r="F39" s="59"/>
      <c r="G39" s="60">
        <f>MIN(G40:G43)</f>
        <v>46157</v>
      </c>
      <c r="H39" s="61">
        <f>MAX(H40:H43)</f>
        <v>46169</v>
      </c>
      <c r="I39" s="62">
        <f t="shared" si="2"/>
        <v>13</v>
      </c>
      <c r="J39" s="63"/>
      <c r="K39" s="59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ht="30.0" customHeight="1">
      <c r="A40" s="1"/>
      <c r="B40" s="21"/>
      <c r="C40" s="42" t="s">
        <v>60</v>
      </c>
      <c r="D40" s="42" t="s">
        <v>61</v>
      </c>
      <c r="E40" s="22" t="s">
        <v>17</v>
      </c>
      <c r="F40" s="23">
        <v>3.0</v>
      </c>
      <c r="G40" s="52">
        <v>46157.0</v>
      </c>
      <c r="H40" s="53">
        <v>46161.0</v>
      </c>
      <c r="I40" s="25">
        <f t="shared" si="2"/>
        <v>5</v>
      </c>
      <c r="J40" s="26" t="s">
        <v>18</v>
      </c>
      <c r="K40" s="27" t="s">
        <v>19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ht="30.75" customHeight="1">
      <c r="A41" s="1"/>
      <c r="B41" s="21"/>
      <c r="C41" s="42" t="s">
        <v>62</v>
      </c>
      <c r="D41" s="42" t="s">
        <v>61</v>
      </c>
      <c r="E41" s="22" t="s">
        <v>21</v>
      </c>
      <c r="F41" s="23">
        <v>3.0</v>
      </c>
      <c r="G41" s="52">
        <v>46160.0</v>
      </c>
      <c r="H41" s="53">
        <v>46162.0</v>
      </c>
      <c r="I41" s="25">
        <f t="shared" si="2"/>
        <v>3</v>
      </c>
      <c r="J41" s="26" t="s">
        <v>18</v>
      </c>
      <c r="K41" s="27" t="s">
        <v>19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ht="30.75" customHeight="1">
      <c r="A42" s="1"/>
      <c r="B42" s="21"/>
      <c r="C42" s="42" t="s">
        <v>63</v>
      </c>
      <c r="D42" s="42" t="s">
        <v>61</v>
      </c>
      <c r="E42" s="22" t="s">
        <v>17</v>
      </c>
      <c r="F42" s="23">
        <v>2.0</v>
      </c>
      <c r="G42" s="52">
        <v>46163.0</v>
      </c>
      <c r="H42" s="53">
        <v>46166.0</v>
      </c>
      <c r="I42" s="25">
        <f t="shared" si="2"/>
        <v>4</v>
      </c>
      <c r="J42" s="26" t="s">
        <v>18</v>
      </c>
      <c r="K42" s="27" t="s">
        <v>19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ht="30.75" customHeight="1">
      <c r="A43" s="1"/>
      <c r="B43" s="21"/>
      <c r="C43" s="42" t="s">
        <v>64</v>
      </c>
      <c r="D43" s="42" t="s">
        <v>61</v>
      </c>
      <c r="E43" s="22" t="s">
        <v>21</v>
      </c>
      <c r="F43" s="23">
        <v>2.0</v>
      </c>
      <c r="G43" s="52">
        <v>46167.0</v>
      </c>
      <c r="H43" s="53">
        <v>46169.0</v>
      </c>
      <c r="I43" s="25">
        <f t="shared" si="2"/>
        <v>3</v>
      </c>
      <c r="J43" s="26" t="s">
        <v>18</v>
      </c>
      <c r="K43" s="27" t="s">
        <v>19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ht="30.0" customHeight="1">
      <c r="A44" s="1"/>
      <c r="B44" s="64"/>
      <c r="C44" s="65" t="s">
        <v>65</v>
      </c>
      <c r="D44" s="66"/>
      <c r="E44" s="66"/>
      <c r="F44" s="67"/>
      <c r="G44" s="68">
        <f>MIN(G45:G55)</f>
        <v>46174</v>
      </c>
      <c r="H44" s="69">
        <f>MAX(H45:H67)</f>
        <v>46198</v>
      </c>
      <c r="I44" s="70">
        <f t="shared" si="2"/>
        <v>25</v>
      </c>
      <c r="J44" s="71"/>
      <c r="K44" s="67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ht="30.75" customHeight="1">
      <c r="A45" s="1"/>
      <c r="B45" s="21"/>
      <c r="C45" s="42" t="s">
        <v>66</v>
      </c>
      <c r="D45" s="42" t="s">
        <v>67</v>
      </c>
      <c r="E45" s="22" t="s">
        <v>17</v>
      </c>
      <c r="F45" s="23">
        <v>3.0</v>
      </c>
      <c r="G45" s="52">
        <v>46174.0</v>
      </c>
      <c r="H45" s="53">
        <v>46175.0</v>
      </c>
      <c r="I45" s="25">
        <f t="shared" si="2"/>
        <v>2</v>
      </c>
      <c r="J45" s="26" t="s">
        <v>18</v>
      </c>
      <c r="K45" s="27" t="s">
        <v>19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ht="30.75" customHeight="1">
      <c r="A46" s="1"/>
      <c r="B46" s="21"/>
      <c r="C46" s="42" t="s">
        <v>68</v>
      </c>
      <c r="D46" s="42" t="s">
        <v>67</v>
      </c>
      <c r="E46" s="22" t="s">
        <v>21</v>
      </c>
      <c r="F46" s="23">
        <v>3.0</v>
      </c>
      <c r="G46" s="52">
        <v>46174.0</v>
      </c>
      <c r="H46" s="53">
        <v>46176.0</v>
      </c>
      <c r="I46" s="25">
        <f t="shared" si="2"/>
        <v>3</v>
      </c>
      <c r="J46" s="26" t="s">
        <v>18</v>
      </c>
      <c r="K46" s="27" t="s">
        <v>19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ht="30.75" customHeight="1">
      <c r="A47" s="1"/>
      <c r="B47" s="21"/>
      <c r="C47" s="42" t="s">
        <v>69</v>
      </c>
      <c r="D47" s="42" t="s">
        <v>67</v>
      </c>
      <c r="E47" s="22" t="s">
        <v>17</v>
      </c>
      <c r="F47" s="23">
        <v>2.0</v>
      </c>
      <c r="G47" s="52">
        <v>46176.0</v>
      </c>
      <c r="H47" s="53">
        <v>46178.0</v>
      </c>
      <c r="I47" s="25">
        <f t="shared" si="2"/>
        <v>3</v>
      </c>
      <c r="J47" s="26" t="s">
        <v>18</v>
      </c>
      <c r="K47" s="27" t="s">
        <v>19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ht="30.75" customHeight="1">
      <c r="A48" s="1"/>
      <c r="B48" s="21"/>
      <c r="C48" s="42" t="s">
        <v>70</v>
      </c>
      <c r="D48" s="42" t="s">
        <v>71</v>
      </c>
      <c r="E48" s="22" t="s">
        <v>21</v>
      </c>
      <c r="F48" s="23">
        <v>2.0</v>
      </c>
      <c r="G48" s="52">
        <v>46177.0</v>
      </c>
      <c r="H48" s="53">
        <v>46179.0</v>
      </c>
      <c r="I48" s="25">
        <f t="shared" si="2"/>
        <v>3</v>
      </c>
      <c r="J48" s="26" t="s">
        <v>18</v>
      </c>
      <c r="K48" s="27" t="s">
        <v>19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ht="30.75" customHeight="1">
      <c r="A49" s="1"/>
      <c r="B49" s="21"/>
      <c r="C49" s="42" t="s">
        <v>72</v>
      </c>
      <c r="D49" s="42" t="s">
        <v>71</v>
      </c>
      <c r="E49" s="22" t="s">
        <v>17</v>
      </c>
      <c r="F49" s="23">
        <v>3.0</v>
      </c>
      <c r="G49" s="52">
        <v>46178.0</v>
      </c>
      <c r="H49" s="53">
        <v>46180.0</v>
      </c>
      <c r="I49" s="25">
        <f t="shared" si="2"/>
        <v>3</v>
      </c>
      <c r="J49" s="26" t="s">
        <v>18</v>
      </c>
      <c r="K49" s="27" t="s">
        <v>19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ht="30.75" customHeight="1">
      <c r="A50" s="1"/>
      <c r="B50" s="21"/>
      <c r="C50" s="42" t="s">
        <v>73</v>
      </c>
      <c r="D50" s="42" t="s">
        <v>71</v>
      </c>
      <c r="E50" s="22" t="s">
        <v>21</v>
      </c>
      <c r="F50" s="23">
        <v>3.0</v>
      </c>
      <c r="G50" s="52">
        <v>46179.0</v>
      </c>
      <c r="H50" s="53">
        <v>46181.0</v>
      </c>
      <c r="I50" s="25">
        <f t="shared" si="2"/>
        <v>3</v>
      </c>
      <c r="J50" s="26" t="s">
        <v>18</v>
      </c>
      <c r="K50" s="27" t="s">
        <v>19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ht="30.75" customHeight="1">
      <c r="A51" s="1"/>
      <c r="B51" s="21"/>
      <c r="C51" s="42" t="s">
        <v>74</v>
      </c>
      <c r="D51" s="42" t="s">
        <v>75</v>
      </c>
      <c r="E51" s="22" t="s">
        <v>17</v>
      </c>
      <c r="F51" s="23">
        <v>5.0</v>
      </c>
      <c r="G51" s="52">
        <v>46180.0</v>
      </c>
      <c r="H51" s="53">
        <v>46182.0</v>
      </c>
      <c r="I51" s="25">
        <f t="shared" si="2"/>
        <v>3</v>
      </c>
      <c r="J51" s="26" t="s">
        <v>18</v>
      </c>
      <c r="K51" s="27" t="s">
        <v>19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ht="30.75" customHeight="1">
      <c r="A52" s="1"/>
      <c r="B52" s="21"/>
      <c r="C52" s="42" t="s">
        <v>76</v>
      </c>
      <c r="D52" s="42" t="s">
        <v>75</v>
      </c>
      <c r="E52" s="22" t="s">
        <v>21</v>
      </c>
      <c r="F52" s="23">
        <v>4.0</v>
      </c>
      <c r="G52" s="52">
        <v>46181.0</v>
      </c>
      <c r="H52" s="53">
        <v>46183.0</v>
      </c>
      <c r="I52" s="25">
        <f t="shared" si="2"/>
        <v>3</v>
      </c>
      <c r="J52" s="26" t="s">
        <v>18</v>
      </c>
      <c r="K52" s="27" t="s">
        <v>19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ht="30.0" customHeight="1">
      <c r="A53" s="1"/>
      <c r="B53" s="21"/>
      <c r="C53" s="42" t="s">
        <v>77</v>
      </c>
      <c r="D53" s="42" t="s">
        <v>75</v>
      </c>
      <c r="E53" s="22" t="s">
        <v>17</v>
      </c>
      <c r="F53" s="23">
        <v>5.0</v>
      </c>
      <c r="G53" s="52">
        <v>46183.0</v>
      </c>
      <c r="H53" s="53">
        <v>46184.0</v>
      </c>
      <c r="I53" s="25">
        <f t="shared" si="2"/>
        <v>2</v>
      </c>
      <c r="J53" s="26" t="s">
        <v>18</v>
      </c>
      <c r="K53" s="27" t="s">
        <v>19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ht="30.0" customHeight="1">
      <c r="A54" s="1"/>
      <c r="B54" s="21"/>
      <c r="C54" s="42" t="s">
        <v>78</v>
      </c>
      <c r="D54" s="42" t="s">
        <v>75</v>
      </c>
      <c r="E54" s="22" t="s">
        <v>21</v>
      </c>
      <c r="F54" s="23">
        <v>5.0</v>
      </c>
      <c r="G54" s="52">
        <v>46184.0</v>
      </c>
      <c r="H54" s="53">
        <v>46186.0</v>
      </c>
      <c r="I54" s="25">
        <f t="shared" si="2"/>
        <v>3</v>
      </c>
      <c r="J54" s="26" t="s">
        <v>18</v>
      </c>
      <c r="K54" s="27" t="s">
        <v>19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ht="30.0" customHeight="1">
      <c r="A55" s="1"/>
      <c r="B55" s="21"/>
      <c r="C55" s="42" t="s">
        <v>79</v>
      </c>
      <c r="D55" s="42" t="s">
        <v>75</v>
      </c>
      <c r="E55" s="22" t="s">
        <v>17</v>
      </c>
      <c r="F55" s="23">
        <v>2.0</v>
      </c>
      <c r="G55" s="52">
        <v>46186.0</v>
      </c>
      <c r="H55" s="53">
        <v>46188.0</v>
      </c>
      <c r="I55" s="25">
        <f t="shared" si="2"/>
        <v>3</v>
      </c>
      <c r="J55" s="26" t="s">
        <v>18</v>
      </c>
      <c r="K55" s="27" t="s">
        <v>19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ht="30.0" customHeight="1">
      <c r="A56" s="1"/>
      <c r="B56" s="72"/>
      <c r="C56" s="73" t="s">
        <v>80</v>
      </c>
      <c r="D56" s="74"/>
      <c r="E56" s="74"/>
      <c r="F56" s="75"/>
      <c r="G56" s="76">
        <f>MIN(G57:G67)</f>
        <v>46189</v>
      </c>
      <c r="H56" s="77">
        <f>MAX(H57:H67)</f>
        <v>46198</v>
      </c>
      <c r="I56" s="78">
        <v>15.0</v>
      </c>
      <c r="J56" s="79"/>
      <c r="K56" s="7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ht="36.75" customHeight="1">
      <c r="A57" s="1"/>
      <c r="B57" s="21"/>
      <c r="C57" s="42" t="s">
        <v>81</v>
      </c>
      <c r="D57" s="42" t="s">
        <v>82</v>
      </c>
      <c r="E57" s="22" t="s">
        <v>17</v>
      </c>
      <c r="F57" s="23">
        <v>5.0</v>
      </c>
      <c r="G57" s="52">
        <v>46189.0</v>
      </c>
      <c r="H57" s="53">
        <v>46192.0</v>
      </c>
      <c r="I57" s="25">
        <f t="shared" ref="I57:I67" si="3">IF(H57=0,"",H57-G57+1)</f>
        <v>4</v>
      </c>
      <c r="J57" s="26" t="s">
        <v>18</v>
      </c>
      <c r="K57" s="27" t="s">
        <v>19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ht="36.75" customHeight="1">
      <c r="A58" s="1"/>
      <c r="B58" s="21"/>
      <c r="C58" s="42" t="s">
        <v>83</v>
      </c>
      <c r="D58" s="42" t="s">
        <v>82</v>
      </c>
      <c r="E58" s="22" t="s">
        <v>21</v>
      </c>
      <c r="F58" s="23">
        <v>4.0</v>
      </c>
      <c r="G58" s="52">
        <v>46190.0</v>
      </c>
      <c r="H58" s="53">
        <v>46193.0</v>
      </c>
      <c r="I58" s="25">
        <f t="shared" si="3"/>
        <v>4</v>
      </c>
      <c r="J58" s="26" t="s">
        <v>18</v>
      </c>
      <c r="K58" s="27" t="s">
        <v>19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ht="36.75" customHeight="1">
      <c r="A59" s="1"/>
      <c r="B59" s="21"/>
      <c r="C59" s="42" t="s">
        <v>84</v>
      </c>
      <c r="D59" s="42" t="s">
        <v>82</v>
      </c>
      <c r="E59" s="22" t="s">
        <v>17</v>
      </c>
      <c r="F59" s="23">
        <v>4.0</v>
      </c>
      <c r="G59" s="52">
        <v>46191.0</v>
      </c>
      <c r="H59" s="53">
        <v>46193.0</v>
      </c>
      <c r="I59" s="25">
        <f t="shared" si="3"/>
        <v>3</v>
      </c>
      <c r="J59" s="26" t="s">
        <v>18</v>
      </c>
      <c r="K59" s="27" t="s">
        <v>19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ht="36.75" customHeight="1">
      <c r="A60" s="1"/>
      <c r="B60" s="21"/>
      <c r="C60" s="42" t="s">
        <v>85</v>
      </c>
      <c r="D60" s="42" t="s">
        <v>86</v>
      </c>
      <c r="E60" s="22" t="s">
        <v>21</v>
      </c>
      <c r="F60" s="23">
        <v>3.0</v>
      </c>
      <c r="G60" s="52">
        <v>46193.0</v>
      </c>
      <c r="H60" s="53">
        <v>46195.0</v>
      </c>
      <c r="I60" s="25">
        <f t="shared" si="3"/>
        <v>3</v>
      </c>
      <c r="J60" s="26" t="s">
        <v>18</v>
      </c>
      <c r="K60" s="27" t="s">
        <v>19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ht="36.75" customHeight="1">
      <c r="A61" s="1"/>
      <c r="B61" s="21"/>
      <c r="C61" s="42" t="s">
        <v>87</v>
      </c>
      <c r="D61" s="42" t="s">
        <v>86</v>
      </c>
      <c r="E61" s="22" t="s">
        <v>17</v>
      </c>
      <c r="F61" s="23">
        <v>4.0</v>
      </c>
      <c r="G61" s="52">
        <v>46194.0</v>
      </c>
      <c r="H61" s="53">
        <v>46196.0</v>
      </c>
      <c r="I61" s="25">
        <f t="shared" si="3"/>
        <v>3</v>
      </c>
      <c r="J61" s="26" t="s">
        <v>18</v>
      </c>
      <c r="K61" s="27" t="s">
        <v>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ht="36.75" customHeight="1">
      <c r="A62" s="1"/>
      <c r="B62" s="21"/>
      <c r="C62" s="42" t="s">
        <v>88</v>
      </c>
      <c r="D62" s="42" t="s">
        <v>86</v>
      </c>
      <c r="E62" s="22" t="s">
        <v>21</v>
      </c>
      <c r="F62" s="23">
        <v>4.0</v>
      </c>
      <c r="G62" s="52">
        <v>46195.0</v>
      </c>
      <c r="H62" s="53">
        <v>46197.0</v>
      </c>
      <c r="I62" s="25">
        <f t="shared" si="3"/>
        <v>3</v>
      </c>
      <c r="J62" s="26" t="s">
        <v>18</v>
      </c>
      <c r="K62" s="27" t="s">
        <v>19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ht="36.75" customHeight="1">
      <c r="A63" s="1"/>
      <c r="B63" s="21"/>
      <c r="C63" s="42" t="s">
        <v>89</v>
      </c>
      <c r="D63" s="42" t="s">
        <v>86</v>
      </c>
      <c r="E63" s="22" t="s">
        <v>17</v>
      </c>
      <c r="F63" s="23">
        <v>2.0</v>
      </c>
      <c r="G63" s="52">
        <v>46197.0</v>
      </c>
      <c r="H63" s="53">
        <v>46198.0</v>
      </c>
      <c r="I63" s="25">
        <f t="shared" si="3"/>
        <v>2</v>
      </c>
      <c r="J63" s="26" t="s">
        <v>18</v>
      </c>
      <c r="K63" s="27" t="s">
        <v>19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ht="36.75" customHeight="1">
      <c r="A64" s="1"/>
      <c r="B64" s="21"/>
      <c r="C64" s="42" t="s">
        <v>90</v>
      </c>
      <c r="D64" s="42" t="s">
        <v>86</v>
      </c>
      <c r="E64" s="22" t="s">
        <v>21</v>
      </c>
      <c r="F64" s="23">
        <v>3.0</v>
      </c>
      <c r="G64" s="52">
        <v>46197.0</v>
      </c>
      <c r="H64" s="53">
        <v>46198.0</v>
      </c>
      <c r="I64" s="25">
        <f t="shared" si="3"/>
        <v>2</v>
      </c>
      <c r="J64" s="26" t="s">
        <v>18</v>
      </c>
      <c r="K64" s="27" t="s">
        <v>19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ht="36.75" customHeight="1">
      <c r="A65" s="1"/>
      <c r="B65" s="21"/>
      <c r="C65" s="42" t="s">
        <v>91</v>
      </c>
      <c r="D65" s="42" t="s">
        <v>92</v>
      </c>
      <c r="E65" s="22" t="s">
        <v>17</v>
      </c>
      <c r="F65" s="23">
        <v>3.0</v>
      </c>
      <c r="G65" s="52">
        <v>46197.0</v>
      </c>
      <c r="H65" s="53">
        <v>46198.0</v>
      </c>
      <c r="I65" s="25">
        <f t="shared" si="3"/>
        <v>2</v>
      </c>
      <c r="J65" s="26" t="s">
        <v>18</v>
      </c>
      <c r="K65" s="27" t="s">
        <v>19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ht="36.75" customHeight="1">
      <c r="A66" s="1"/>
      <c r="B66" s="21"/>
      <c r="C66" s="42" t="s">
        <v>93</v>
      </c>
      <c r="D66" s="42" t="s">
        <v>92</v>
      </c>
      <c r="E66" s="42" t="s">
        <v>21</v>
      </c>
      <c r="F66" s="23">
        <v>3.0</v>
      </c>
      <c r="G66" s="52">
        <v>46197.0</v>
      </c>
      <c r="H66" s="53">
        <v>46198.0</v>
      </c>
      <c r="I66" s="25">
        <f t="shared" si="3"/>
        <v>2</v>
      </c>
      <c r="J66" s="26" t="s">
        <v>18</v>
      </c>
      <c r="K66" s="27" t="s">
        <v>19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t="36.75" customHeight="1">
      <c r="A67" s="1"/>
      <c r="B67" s="21"/>
      <c r="C67" s="42" t="s">
        <v>94</v>
      </c>
      <c r="D67" s="42" t="s">
        <v>92</v>
      </c>
      <c r="E67" s="42" t="s">
        <v>17</v>
      </c>
      <c r="F67" s="23">
        <v>2.0</v>
      </c>
      <c r="G67" s="52">
        <v>46197.0</v>
      </c>
      <c r="H67" s="53">
        <v>46198.0</v>
      </c>
      <c r="I67" s="25">
        <f t="shared" si="3"/>
        <v>2</v>
      </c>
      <c r="J67" s="26" t="s">
        <v>18</v>
      </c>
      <c r="K67" s="27" t="s">
        <v>19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ht="328.5" customHeight="1">
      <c r="A68" s="1"/>
      <c r="B68" s="1"/>
      <c r="C68" s="80" t="s">
        <v>77</v>
      </c>
      <c r="D68" s="4"/>
      <c r="E68" s="4"/>
      <c r="F68" s="4"/>
      <c r="G68" s="4"/>
      <c r="H68" s="4"/>
      <c r="I68" s="4"/>
      <c r="J68" s="26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13.5" customHeight="1">
      <c r="A70" s="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ht="13.5" customHeight="1">
      <c r="A71" s="1"/>
      <c r="B71" s="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ht="13.5" customHeight="1">
      <c r="A72" s="1"/>
      <c r="B72" s="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ht="13.5" customHeight="1">
      <c r="A73" s="1"/>
      <c r="B73" s="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ht="13.5" customHeight="1">
      <c r="A74" s="1"/>
      <c r="B74" s="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ht="13.5" customHeight="1">
      <c r="A75" s="1"/>
      <c r="B75" s="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ht="13.5" customHeight="1">
      <c r="A76" s="1"/>
      <c r="B76" s="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ht="13.5" customHeight="1">
      <c r="A77" s="1"/>
      <c r="B77" s="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ht="13.5" customHeight="1">
      <c r="A78" s="1"/>
      <c r="B78" s="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ht="13.5" customHeight="1">
      <c r="A79" s="1"/>
      <c r="B79" s="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ht="13.5" customHeight="1">
      <c r="A80" s="1"/>
      <c r="B80" s="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ht="13.5" customHeight="1">
      <c r="A81" s="1"/>
      <c r="B81" s="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ht="13.5" customHeight="1">
      <c r="A82" s="1"/>
      <c r="B82" s="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t="13.5" customHeight="1">
      <c r="A83" s="1"/>
      <c r="B83" s="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ht="13.5" customHeight="1">
      <c r="A84" s="1"/>
      <c r="B84" s="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t="13.5" customHeight="1">
      <c r="A85" s="1"/>
      <c r="B85" s="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ht="13.5" customHeight="1">
      <c r="A86" s="1"/>
      <c r="B86" s="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ht="13.5" customHeight="1">
      <c r="A87" s="1"/>
      <c r="B87" s="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t="13.5" customHeight="1">
      <c r="A88" s="1"/>
      <c r="B88" s="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ht="13.5" customHeight="1">
      <c r="A89" s="1"/>
      <c r="B89" s="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ht="13.5" customHeight="1">
      <c r="A90" s="1"/>
      <c r="B90" s="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ht="13.5" customHeight="1">
      <c r="A91" s="1"/>
      <c r="B91" s="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ht="13.5" customHeight="1">
      <c r="A92" s="1"/>
      <c r="B92" s="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ht="13.5" customHeight="1">
      <c r="A93" s="1"/>
      <c r="B93" s="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ht="13.5" customHeight="1">
      <c r="A94" s="1"/>
      <c r="B94" s="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ht="13.5" customHeight="1">
      <c r="A95" s="1"/>
      <c r="B95" s="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ht="13.5" customHeight="1">
      <c r="A96" s="1"/>
      <c r="B96" s="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ht="13.5" customHeight="1">
      <c r="A97" s="1"/>
      <c r="B97" s="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ht="13.5" customHeight="1">
      <c r="A98" s="1"/>
      <c r="B98" s="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ht="13.5" customHeight="1">
      <c r="A99" s="1"/>
      <c r="B99" s="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ht="13.5" customHeight="1">
      <c r="A100" s="1"/>
      <c r="B100" s="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ht="13.5" customHeight="1">
      <c r="A101" s="1"/>
      <c r="B101" s="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ht="13.5" customHeight="1">
      <c r="A102" s="1"/>
      <c r="B102" s="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t="13.5" customHeight="1">
      <c r="A103" s="1"/>
      <c r="B103" s="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t="13.5" customHeight="1">
      <c r="A104" s="1"/>
      <c r="B104" s="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t="13.5" customHeight="1">
      <c r="A105" s="1"/>
      <c r="B105" s="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ht="13.5" customHeight="1">
      <c r="A106" s="1"/>
      <c r="B106" s="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ht="13.5" customHeight="1">
      <c r="A107" s="1"/>
      <c r="B107" s="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ht="13.5" customHeight="1">
      <c r="A108" s="1"/>
      <c r="B108" s="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ht="13.5" customHeight="1">
      <c r="A109" s="1"/>
      <c r="B109" s="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ht="13.5" customHeight="1">
      <c r="A110" s="1"/>
      <c r="B110" s="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ht="13.5" customHeight="1">
      <c r="A111" s="1"/>
      <c r="B111" s="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ht="13.5" customHeight="1">
      <c r="A112" s="1"/>
      <c r="B112" s="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ht="13.5" customHeight="1">
      <c r="A113" s="1"/>
      <c r="B113" s="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t="13.5" customHeight="1">
      <c r="A114" s="1"/>
      <c r="B114" s="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t="13.5" customHeight="1">
      <c r="A115" s="1"/>
      <c r="B115" s="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t="13.5" customHeight="1">
      <c r="A116" s="1"/>
      <c r="B116" s="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t="13.5" customHeight="1">
      <c r="A117" s="1"/>
      <c r="B117" s="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ht="13.5" customHeight="1">
      <c r="A118" s="1"/>
      <c r="B118" s="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t="13.5" customHeight="1">
      <c r="A119" s="1"/>
      <c r="B119" s="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t="13.5" customHeight="1">
      <c r="A120" s="1"/>
      <c r="B120" s="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t="13.5" customHeight="1">
      <c r="A121" s="1"/>
      <c r="B121" s="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13.5" customHeight="1">
      <c r="A122" s="1"/>
      <c r="B122" s="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13.5" customHeight="1">
      <c r="A123" s="1"/>
      <c r="B123" s="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13.5" customHeight="1">
      <c r="A124" s="1"/>
      <c r="B124" s="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13.5" customHeight="1">
      <c r="A125" s="1"/>
      <c r="B125" s="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13.5" customHeight="1">
      <c r="A126" s="1"/>
      <c r="B126" s="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13.5" customHeight="1">
      <c r="A127" s="1"/>
      <c r="B127" s="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ht="13.5" customHeight="1">
      <c r="A128" s="1"/>
      <c r="B128" s="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t="13.5" customHeight="1">
      <c r="A129" s="1"/>
      <c r="B129" s="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ht="13.5" customHeight="1">
      <c r="A130" s="1"/>
      <c r="B130" s="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13.5" customHeight="1">
      <c r="A131" s="1"/>
      <c r="B131" s="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t="13.5" customHeight="1">
      <c r="A132" s="1"/>
      <c r="B132" s="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13.5" customHeight="1">
      <c r="A133" s="1"/>
      <c r="B133" s="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13.5" customHeight="1">
      <c r="A134" s="1"/>
      <c r="B134" s="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13.5" customHeight="1">
      <c r="A135" s="1"/>
      <c r="B135" s="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t="13.5" customHeight="1">
      <c r="A136" s="1"/>
      <c r="B136" s="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t="13.5" customHeight="1">
      <c r="A137" s="1"/>
      <c r="B137" s="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t="13.5" customHeight="1">
      <c r="A138" s="1"/>
      <c r="B138" s="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t="13.5" customHeight="1">
      <c r="A139" s="1"/>
      <c r="B139" s="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t="13.5" customHeight="1">
      <c r="A140" s="1"/>
      <c r="B140" s="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13.5" customHeight="1">
      <c r="A141" s="1"/>
      <c r="B141" s="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13.5" customHeight="1">
      <c r="A142" s="1"/>
      <c r="B142" s="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13.5" customHeight="1">
      <c r="A143" s="1"/>
      <c r="B143" s="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13.5" customHeight="1">
      <c r="A144" s="1"/>
      <c r="B144" s="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13.5" customHeight="1">
      <c r="A145" s="1"/>
      <c r="B145" s="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13.5" customHeight="1">
      <c r="A146" s="1"/>
      <c r="B146" s="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13.5" customHeight="1">
      <c r="A147" s="1"/>
      <c r="B147" s="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t="13.5" customHeight="1">
      <c r="A148" s="1"/>
      <c r="B148" s="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t="13.5" customHeight="1">
      <c r="A149" s="1"/>
      <c r="B149" s="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t="13.5" customHeight="1">
      <c r="A150" s="1"/>
      <c r="B150" s="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t="13.5" customHeight="1">
      <c r="A151" s="1"/>
      <c r="B151" s="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t="13.5" customHeight="1">
      <c r="A152" s="1"/>
      <c r="B152" s="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t="13.5" customHeight="1">
      <c r="A153" s="1"/>
      <c r="B153" s="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t="13.5" customHeight="1">
      <c r="A154" s="1"/>
      <c r="B154" s="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t="13.5" customHeight="1">
      <c r="A155" s="1"/>
      <c r="B155" s="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t="13.5" customHeight="1">
      <c r="A156" s="1"/>
      <c r="B156" s="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13.5" customHeight="1">
      <c r="A157" s="1"/>
      <c r="B157" s="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13.5" customHeight="1">
      <c r="A158" s="1"/>
      <c r="B158" s="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13.5" customHeight="1">
      <c r="A159" s="1"/>
      <c r="B159" s="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13.5" customHeight="1">
      <c r="A160" s="1"/>
      <c r="B160" s="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13.5" customHeight="1">
      <c r="A161" s="1"/>
      <c r="B161" s="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13.5" customHeight="1">
      <c r="A162" s="1"/>
      <c r="B162" s="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13.5" customHeight="1">
      <c r="A163" s="1"/>
      <c r="B163" s="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13.5" customHeight="1">
      <c r="A164" s="1"/>
      <c r="B164" s="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13.5" customHeight="1">
      <c r="A165" s="1"/>
      <c r="B165" s="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13.5" customHeight="1">
      <c r="A166" s="1"/>
      <c r="B166" s="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13.5" customHeight="1">
      <c r="A167" s="1"/>
      <c r="B167" s="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13.5" customHeight="1">
      <c r="A168" s="1"/>
      <c r="B168" s="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13.5" customHeight="1">
      <c r="A169" s="1"/>
      <c r="B169" s="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13.5" customHeight="1">
      <c r="A170" s="1"/>
      <c r="B170" s="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13.5" customHeight="1">
      <c r="A171" s="1"/>
      <c r="B171" s="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13.5" customHeight="1">
      <c r="A172" s="1"/>
      <c r="B172" s="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13.5" customHeight="1">
      <c r="A173" s="1"/>
      <c r="B173" s="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13.5" customHeight="1">
      <c r="A174" s="1"/>
      <c r="B174" s="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13.5" customHeight="1">
      <c r="A175" s="1"/>
      <c r="B175" s="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13.5" customHeight="1">
      <c r="A176" s="1"/>
      <c r="B176" s="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13.5" customHeight="1">
      <c r="A177" s="1"/>
      <c r="B177" s="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13.5" customHeight="1">
      <c r="A178" s="1"/>
      <c r="B178" s="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13.5" customHeight="1">
      <c r="A179" s="1"/>
      <c r="B179" s="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13.5" customHeight="1">
      <c r="A180" s="1"/>
      <c r="B180" s="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13.5" customHeight="1">
      <c r="A181" s="1"/>
      <c r="B181" s="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13.5" customHeight="1">
      <c r="A182" s="1"/>
      <c r="B182" s="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13.5" customHeight="1">
      <c r="A183" s="1"/>
      <c r="B183" s="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13.5" customHeight="1">
      <c r="A184" s="1"/>
      <c r="B184" s="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13.5" customHeight="1">
      <c r="A185" s="1"/>
      <c r="B185" s="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13.5" customHeight="1">
      <c r="A186" s="1"/>
      <c r="B186" s="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13.5" customHeight="1">
      <c r="A187" s="1"/>
      <c r="B187" s="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13.5" customHeight="1">
      <c r="A188" s="1"/>
      <c r="B188" s="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13.5" customHeight="1">
      <c r="A189" s="1"/>
      <c r="B189" s="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13.5" customHeight="1">
      <c r="A190" s="1"/>
      <c r="B190" s="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13.5" customHeight="1">
      <c r="A191" s="1"/>
      <c r="B191" s="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13.5" customHeight="1">
      <c r="A192" s="1"/>
      <c r="B192" s="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13.5" customHeight="1">
      <c r="A193" s="1"/>
      <c r="B193" s="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13.5" customHeight="1">
      <c r="A194" s="1"/>
      <c r="B194" s="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13.5" customHeight="1">
      <c r="A195" s="1"/>
      <c r="B195" s="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13.5" customHeight="1">
      <c r="A196" s="1"/>
      <c r="B196" s="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13.5" customHeight="1">
      <c r="A197" s="1"/>
      <c r="B197" s="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13.5" customHeight="1">
      <c r="A198" s="1"/>
      <c r="B198" s="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13.5" customHeight="1">
      <c r="A199" s="1"/>
      <c r="B199" s="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13.5" customHeight="1">
      <c r="A200" s="1"/>
      <c r="B200" s="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13.5" customHeight="1">
      <c r="A201" s="1"/>
      <c r="B201" s="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13.5" customHeight="1">
      <c r="A202" s="1"/>
      <c r="B202" s="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13.5" customHeight="1">
      <c r="A203" s="1"/>
      <c r="B203" s="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13.5" customHeight="1">
      <c r="A204" s="1"/>
      <c r="B204" s="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13.5" customHeight="1">
      <c r="A205" s="1"/>
      <c r="B205" s="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13.5" customHeight="1">
      <c r="A206" s="1"/>
      <c r="B206" s="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13.5" customHeight="1">
      <c r="A207" s="1"/>
      <c r="B207" s="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13.5" customHeight="1">
      <c r="A208" s="1"/>
      <c r="B208" s="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13.5" customHeight="1">
      <c r="A209" s="1"/>
      <c r="B209" s="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13.5" customHeight="1">
      <c r="A210" s="1"/>
      <c r="B210" s="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13.5" customHeight="1">
      <c r="A211" s="1"/>
      <c r="B211" s="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13.5" customHeight="1">
      <c r="A212" s="1"/>
      <c r="B212" s="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13.5" customHeight="1">
      <c r="A213" s="1"/>
      <c r="B213" s="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13.5" customHeight="1">
      <c r="A214" s="1"/>
      <c r="B214" s="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13.5" customHeight="1">
      <c r="A215" s="1"/>
      <c r="B215" s="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13.5" customHeight="1">
      <c r="A216" s="1"/>
      <c r="B216" s="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13.5" customHeight="1">
      <c r="A217" s="1"/>
      <c r="B217" s="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13.5" customHeight="1">
      <c r="A218" s="1"/>
      <c r="B218" s="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13.5" customHeight="1">
      <c r="A219" s="1"/>
      <c r="B219" s="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13.5" customHeight="1">
      <c r="A220" s="1"/>
      <c r="B220" s="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13.5" customHeight="1">
      <c r="A221" s="1"/>
      <c r="B221" s="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13.5" customHeight="1">
      <c r="A222" s="1"/>
      <c r="B222" s="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13.5" customHeight="1">
      <c r="A223" s="1"/>
      <c r="B223" s="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13.5" customHeight="1">
      <c r="A224" s="1"/>
      <c r="B224" s="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13.5" customHeight="1">
      <c r="A225" s="1"/>
      <c r="B225" s="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13.5" customHeight="1">
      <c r="A226" s="1"/>
      <c r="B226" s="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13.5" customHeight="1">
      <c r="A227" s="1"/>
      <c r="B227" s="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13.5" customHeight="1">
      <c r="A228" s="1"/>
      <c r="B228" s="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13.5" customHeight="1">
      <c r="A229" s="1"/>
      <c r="B229" s="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13.5" customHeight="1">
      <c r="A230" s="1"/>
      <c r="B230" s="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13.5" customHeight="1">
      <c r="A231" s="1"/>
      <c r="B231" s="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13.5" customHeight="1">
      <c r="A232" s="1"/>
      <c r="B232" s="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13.5" customHeight="1">
      <c r="A233" s="1"/>
      <c r="B233" s="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13.5" customHeight="1">
      <c r="A234" s="1"/>
      <c r="B234" s="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13.5" customHeight="1">
      <c r="A235" s="1"/>
      <c r="B235" s="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13.5" customHeight="1">
      <c r="A236" s="1"/>
      <c r="B236" s="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13.5" customHeight="1">
      <c r="A237" s="1"/>
      <c r="B237" s="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13.5" customHeight="1">
      <c r="A238" s="1"/>
      <c r="B238" s="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13.5" customHeight="1">
      <c r="A239" s="1"/>
      <c r="B239" s="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13.5" customHeight="1">
      <c r="A240" s="1"/>
      <c r="B240" s="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13.5" customHeight="1">
      <c r="A241" s="1"/>
      <c r="B241" s="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13.5" customHeight="1">
      <c r="A242" s="1"/>
      <c r="B242" s="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13.5" customHeight="1">
      <c r="A243" s="1"/>
      <c r="B243" s="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13.5" customHeight="1">
      <c r="A244" s="1"/>
      <c r="B244" s="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13.5" customHeight="1">
      <c r="A245" s="1"/>
      <c r="B245" s="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13.5" customHeight="1">
      <c r="A246" s="1"/>
      <c r="B246" s="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13.5" customHeight="1">
      <c r="A247" s="1"/>
      <c r="B247" s="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13.5" customHeight="1">
      <c r="A248" s="1"/>
      <c r="B248" s="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13.5" customHeight="1">
      <c r="A249" s="1"/>
      <c r="B249" s="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13.5" customHeight="1">
      <c r="A250" s="1"/>
      <c r="B250" s="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13.5" customHeight="1">
      <c r="A251" s="1"/>
      <c r="B251" s="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13.5" customHeight="1">
      <c r="A252" s="1"/>
      <c r="B252" s="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13.5" customHeight="1">
      <c r="A253" s="1"/>
      <c r="B253" s="1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13.5" customHeight="1">
      <c r="A254" s="1"/>
      <c r="B254" s="1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13.5" customHeight="1">
      <c r="A255" s="1"/>
      <c r="B255" s="1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13.5" customHeight="1">
      <c r="A256" s="1"/>
      <c r="B256" s="1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13.5" customHeight="1">
      <c r="A257" s="1"/>
      <c r="B257" s="1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13.5" customHeight="1">
      <c r="A258" s="1"/>
      <c r="B258" s="1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13.5" customHeight="1">
      <c r="A259" s="1"/>
      <c r="B259" s="1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13.5" customHeight="1">
      <c r="A260" s="1"/>
      <c r="B260" s="1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13.5" customHeight="1">
      <c r="A261" s="1"/>
      <c r="B261" s="1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13.5" customHeight="1">
      <c r="A262" s="1"/>
      <c r="B262" s="1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13.5" customHeight="1">
      <c r="A263" s="1"/>
      <c r="B263" s="1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13.5" customHeight="1">
      <c r="A264" s="1"/>
      <c r="B264" s="1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13.5" customHeight="1">
      <c r="A265" s="1"/>
      <c r="B265" s="1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13.5" customHeight="1">
      <c r="A266" s="1"/>
      <c r="B266" s="1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C2"/>
    <mergeCell ref="D2:F2"/>
    <mergeCell ref="B3:C3"/>
    <mergeCell ref="D3:F3"/>
  </mergeCells>
  <conditionalFormatting sqref="B6:B67">
    <cfRule type="containsText" dxfId="0" priority="1" operator="containsText" text="No">
      <formula>NOT(ISERROR(SEARCH(("No"),(B6))))</formula>
    </cfRule>
  </conditionalFormatting>
  <conditionalFormatting sqref="B6:B67">
    <cfRule type="containsText" dxfId="1" priority="2" operator="containsText" text="Yes">
      <formula>NOT(ISERROR(SEARCH(("Yes"),(B6))))</formula>
    </cfRule>
  </conditionalFormatting>
  <conditionalFormatting sqref="B18:B29 B31:B38 C6:I44 C45:D48 C56:I56 C62:D65 C67:D67 D49:D53 D54:F55 D57:I57 D58:H60 D61 D66:F67 E45:F53 E61:H67 G45:I55 I58:I67 K6:K67">
    <cfRule type="expression" dxfId="2" priority="3">
      <formula>$B6="Yes"</formula>
    </cfRule>
  </conditionalFormatting>
  <conditionalFormatting sqref="J6:J68">
    <cfRule type="containsText" dxfId="3" priority="4" operator="containsText" text="Approved">
      <formula>NOT(ISERROR(SEARCH(("Approved"),(J6))))</formula>
    </cfRule>
  </conditionalFormatting>
  <conditionalFormatting sqref="J6:J68">
    <cfRule type="containsText" dxfId="4" priority="5" operator="containsText" text="Needs Review">
      <formula>NOT(ISERROR(SEARCH(("Needs Review"),(J6))))</formula>
    </cfRule>
  </conditionalFormatting>
  <conditionalFormatting sqref="J6:J68">
    <cfRule type="containsText" dxfId="5" priority="6" operator="containsText" text="Not Started">
      <formula>NOT(ISERROR(SEARCH(("Not Started"),(J6))))</formula>
    </cfRule>
  </conditionalFormatting>
  <conditionalFormatting sqref="J6:J68">
    <cfRule type="containsText" dxfId="0" priority="7" operator="containsText" text="On Hold">
      <formula>NOT(ISERROR(SEARCH(("On Hold"),(J6))))</formula>
    </cfRule>
  </conditionalFormatting>
  <conditionalFormatting sqref="J6:J68">
    <cfRule type="containsText" dxfId="6" priority="8" operator="containsText" text="Overdue">
      <formula>NOT(ISERROR(SEARCH(("Overdue"),(J6))))</formula>
    </cfRule>
  </conditionalFormatting>
  <conditionalFormatting sqref="J6:J68">
    <cfRule type="containsText" dxfId="7" priority="9" operator="containsText" text="Complete">
      <formula>NOT(ISERROR(SEARCH(("Complete"),(J6))))</formula>
    </cfRule>
  </conditionalFormatting>
  <conditionalFormatting sqref="J6:J68">
    <cfRule type="containsText" dxfId="8" priority="10" operator="containsText" text="In Progress">
      <formula>NOT(ISERROR(SEARCH(("In Progress"),(J6))))</formula>
    </cfRule>
  </conditionalFormatting>
  <conditionalFormatting sqref="C49:C55">
    <cfRule type="expression" dxfId="2" priority="11">
      <formula>$B49="Yes"</formula>
    </cfRule>
  </conditionalFormatting>
  <conditionalFormatting sqref="C61 C66">
    <cfRule type="expression" dxfId="2" priority="12">
      <formula>$B61="Yes"</formula>
    </cfRule>
  </conditionalFormatting>
  <conditionalFormatting sqref="C57:C60">
    <cfRule type="expression" dxfId="2" priority="13">
      <formula>$B57="Yes"</formula>
    </cfRule>
  </conditionalFormatting>
  <dataValidations>
    <dataValidation type="list" allowBlank="1" showErrorMessage="1" sqref="B6:B67">
      <formula1>'Dropdown Keys - Do Not Delete -'!$B$3:$B$4</formula1>
    </dataValidation>
    <dataValidation type="list" allowBlank="1" showErrorMessage="1" sqref="J6:J68">
      <formula1>'Dropdown Keys - Do Not Delete -'!$D$3:$D$11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0.89"/>
    <col customWidth="1" min="3" max="3" width="3.33"/>
    <col customWidth="1" min="4" max="4" width="12.89"/>
    <col customWidth="1" min="5" max="5" width="3.33"/>
    <col customWidth="1" min="6" max="24" width="11.0"/>
  </cols>
  <sheetData>
    <row r="1" ht="42.0" customHeight="1">
      <c r="A1" s="82"/>
      <c r="B1" s="83" t="s">
        <v>95</v>
      </c>
      <c r="C1" s="84"/>
      <c r="D1" s="84"/>
      <c r="E1" s="84"/>
      <c r="F1" s="84"/>
      <c r="G1" s="84"/>
      <c r="H1" s="84"/>
      <c r="I1" s="84"/>
      <c r="J1" s="82"/>
      <c r="K1" s="82"/>
      <c r="L1" s="82"/>
      <c r="M1" s="82"/>
      <c r="N1" s="82"/>
      <c r="O1" s="82"/>
      <c r="P1" s="82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t="24.75" customHeight="1">
      <c r="A2" s="85"/>
      <c r="B2" s="86" t="s">
        <v>96</v>
      </c>
      <c r="C2" s="85"/>
      <c r="D2" s="86" t="s">
        <v>12</v>
      </c>
      <c r="E2" s="85"/>
    </row>
    <row r="3" ht="34.5" customHeight="1">
      <c r="A3" s="85"/>
      <c r="B3" s="87" t="s">
        <v>97</v>
      </c>
      <c r="C3" s="85"/>
      <c r="D3" s="42" t="s">
        <v>98</v>
      </c>
      <c r="E3" s="85"/>
    </row>
    <row r="4" ht="34.5" customHeight="1">
      <c r="A4" s="85"/>
      <c r="B4" s="88" t="s">
        <v>99</v>
      </c>
      <c r="C4" s="85"/>
      <c r="D4" s="89" t="s">
        <v>100</v>
      </c>
      <c r="E4" s="85"/>
    </row>
    <row r="5" ht="34.5" customHeight="1">
      <c r="A5" s="85"/>
      <c r="B5" s="82"/>
      <c r="C5" s="85"/>
      <c r="D5" s="89" t="s">
        <v>18</v>
      </c>
      <c r="E5" s="85"/>
    </row>
    <row r="6" ht="34.5" customHeight="1">
      <c r="A6" s="85"/>
      <c r="B6" s="82"/>
      <c r="C6" s="85"/>
      <c r="D6" s="90" t="s">
        <v>101</v>
      </c>
      <c r="E6" s="85"/>
    </row>
    <row r="7" ht="34.5" customHeight="1">
      <c r="A7" s="85"/>
      <c r="B7" s="82"/>
      <c r="C7" s="85"/>
      <c r="D7" s="91" t="s">
        <v>102</v>
      </c>
      <c r="E7" s="85"/>
    </row>
    <row r="8" ht="34.5" customHeight="1">
      <c r="A8" s="85"/>
      <c r="B8" s="82"/>
      <c r="C8" s="85"/>
      <c r="D8" s="92" t="s">
        <v>103</v>
      </c>
      <c r="E8" s="85"/>
    </row>
    <row r="9" ht="34.5" customHeight="1">
      <c r="A9" s="85"/>
      <c r="B9" s="85"/>
      <c r="C9" s="85"/>
      <c r="D9" s="93" t="s">
        <v>104</v>
      </c>
      <c r="E9" s="85"/>
    </row>
    <row r="10" ht="34.5" customHeight="1">
      <c r="A10" s="85"/>
      <c r="B10" s="85"/>
      <c r="C10" s="85"/>
      <c r="D10" s="94"/>
      <c r="E10" s="85"/>
    </row>
    <row r="11" ht="34.5" customHeight="1">
      <c r="A11" s="85"/>
      <c r="B11" s="85"/>
      <c r="C11" s="85"/>
      <c r="D11" s="94"/>
      <c r="E11" s="85"/>
    </row>
    <row r="12" ht="15.75" customHeight="1">
      <c r="A12" s="85"/>
      <c r="B12" s="85"/>
      <c r="C12" s="85"/>
      <c r="D12" s="95"/>
      <c r="E12" s="85"/>
    </row>
    <row r="13" ht="15.75" customHeight="1">
      <c r="A13" s="85"/>
      <c r="B13" s="85"/>
      <c r="C13" s="85"/>
      <c r="D13" s="95"/>
      <c r="E13" s="85"/>
    </row>
    <row r="14" ht="15.75" customHeight="1">
      <c r="A14" s="85"/>
      <c r="B14" s="85"/>
      <c r="C14" s="85"/>
      <c r="D14" s="95"/>
      <c r="E14" s="85"/>
    </row>
    <row r="15" ht="15.75" customHeight="1">
      <c r="A15" s="85"/>
      <c r="B15" s="85"/>
      <c r="C15" s="85"/>
      <c r="D15" s="95"/>
      <c r="E15" s="85"/>
    </row>
    <row r="16" ht="15.75" customHeight="1">
      <c r="A16" s="85"/>
      <c r="B16" s="85"/>
      <c r="C16" s="85"/>
      <c r="D16" s="95"/>
      <c r="E16" s="85"/>
    </row>
    <row r="17" ht="15.75" customHeight="1">
      <c r="A17" s="85"/>
      <c r="B17" s="85"/>
      <c r="C17" s="85"/>
      <c r="E17" s="85"/>
    </row>
    <row r="18" ht="15.75" customHeight="1">
      <c r="A18" s="85"/>
      <c r="B18" s="85"/>
      <c r="C18" s="85"/>
      <c r="E18" s="85"/>
    </row>
    <row r="19" ht="15.75" customHeight="1">
      <c r="A19" s="85"/>
      <c r="B19" s="85"/>
      <c r="C19" s="85"/>
      <c r="E19" s="85"/>
    </row>
    <row r="20" ht="15.75" customHeight="1">
      <c r="A20" s="85"/>
      <c r="B20" s="85"/>
      <c r="C20" s="85"/>
      <c r="E20" s="85"/>
    </row>
    <row r="21" ht="15.75" customHeight="1">
      <c r="A21" s="85"/>
      <c r="B21" s="85"/>
      <c r="C21" s="85"/>
      <c r="E21" s="85"/>
    </row>
    <row r="22" ht="15.75" customHeight="1">
      <c r="A22" s="85"/>
      <c r="B22" s="85"/>
      <c r="C22" s="85"/>
      <c r="E22" s="85"/>
    </row>
    <row r="23" ht="15.75" customHeight="1">
      <c r="A23" s="85"/>
      <c r="B23" s="85"/>
      <c r="C23" s="85"/>
      <c r="E23" s="85"/>
    </row>
    <row r="24" ht="15.75" customHeight="1">
      <c r="A24" s="85"/>
      <c r="B24" s="85"/>
      <c r="C24" s="85"/>
      <c r="E24" s="85"/>
    </row>
    <row r="25" ht="15.75" customHeight="1">
      <c r="A25" s="85"/>
      <c r="B25" s="85"/>
      <c r="C25" s="85"/>
      <c r="E25" s="85"/>
    </row>
    <row r="26" ht="15.75" customHeight="1">
      <c r="A26" s="85"/>
      <c r="B26" s="85"/>
      <c r="C26" s="85"/>
      <c r="E26" s="85"/>
    </row>
    <row r="27" ht="15.75" customHeight="1">
      <c r="A27" s="85"/>
      <c r="B27" s="85"/>
      <c r="C27" s="85"/>
      <c r="E27" s="85"/>
    </row>
    <row r="28" ht="15.75" customHeight="1">
      <c r="A28" s="85"/>
      <c r="B28" s="85"/>
      <c r="C28" s="85"/>
      <c r="E28" s="85"/>
    </row>
    <row r="29" ht="15.75" customHeight="1">
      <c r="A29" s="85"/>
      <c r="B29" s="85"/>
      <c r="C29" s="85"/>
      <c r="E29" s="85"/>
    </row>
    <row r="30" ht="15.75" customHeight="1">
      <c r="A30" s="85"/>
      <c r="B30" s="85"/>
      <c r="C30" s="85"/>
      <c r="E30" s="85"/>
    </row>
    <row r="31" ht="15.75" customHeight="1">
      <c r="A31" s="85"/>
      <c r="B31" s="85"/>
      <c r="C31" s="85"/>
      <c r="E31" s="85"/>
    </row>
    <row r="32" ht="15.75" customHeight="1"/>
    <row r="33" ht="15.75" customHeight="1">
      <c r="A33" s="85"/>
      <c r="B33" s="85"/>
      <c r="C33" s="85"/>
      <c r="E33" s="85"/>
    </row>
    <row r="34" ht="15.75" customHeight="1">
      <c r="A34" s="85"/>
      <c r="B34" s="85"/>
      <c r="C34" s="85"/>
      <c r="E34" s="85"/>
    </row>
    <row r="35" ht="15.75" customHeight="1">
      <c r="A35" s="85"/>
      <c r="B35" s="85"/>
      <c r="C35" s="85"/>
      <c r="E35" s="85"/>
    </row>
    <row r="36" ht="15.75" customHeight="1">
      <c r="A36" s="85"/>
      <c r="B36" s="85"/>
      <c r="C36" s="85"/>
      <c r="E36" s="85"/>
    </row>
    <row r="37" ht="15.75" customHeight="1">
      <c r="A37" s="85"/>
      <c r="B37" s="85"/>
      <c r="C37" s="85"/>
      <c r="E37" s="85"/>
    </row>
    <row r="38" ht="15.75" customHeight="1">
      <c r="A38" s="85"/>
      <c r="B38" s="85"/>
      <c r="C38" s="85"/>
      <c r="E38" s="85"/>
    </row>
    <row r="39" ht="15.75" customHeight="1">
      <c r="A39" s="85"/>
      <c r="B39" s="85"/>
      <c r="C39" s="85"/>
      <c r="E39" s="85"/>
    </row>
    <row r="40" ht="15.75" customHeight="1">
      <c r="A40" s="85"/>
      <c r="B40" s="85"/>
      <c r="C40" s="85"/>
      <c r="E40" s="85"/>
    </row>
    <row r="41" ht="15.75" customHeight="1">
      <c r="A41" s="85"/>
      <c r="B41" s="85"/>
      <c r="C41" s="85"/>
      <c r="E41" s="85"/>
    </row>
    <row r="42" ht="15.75" customHeight="1">
      <c r="A42" s="85"/>
      <c r="B42" s="85"/>
      <c r="C42" s="85"/>
      <c r="E42" s="85"/>
    </row>
    <row r="43" ht="15.75" customHeight="1">
      <c r="A43" s="85"/>
      <c r="B43" s="85"/>
      <c r="C43" s="85"/>
      <c r="E43" s="85"/>
    </row>
    <row r="44" ht="15.75" customHeight="1">
      <c r="A44" s="85"/>
      <c r="B44" s="85"/>
      <c r="C44" s="85"/>
      <c r="E44" s="85"/>
    </row>
    <row r="45" ht="15.75" customHeight="1">
      <c r="A45" s="85"/>
      <c r="B45" s="85"/>
      <c r="C45" s="85"/>
      <c r="E45" s="85"/>
    </row>
    <row r="46" ht="15.75" customHeight="1">
      <c r="A46" s="85"/>
      <c r="B46" s="85"/>
      <c r="C46" s="85"/>
      <c r="E46" s="85"/>
    </row>
    <row r="47" ht="15.75" customHeight="1">
      <c r="A47" s="85"/>
      <c r="B47" s="85"/>
      <c r="C47" s="85"/>
      <c r="E47" s="85"/>
    </row>
    <row r="48" ht="15.75" customHeight="1">
      <c r="A48" s="85"/>
      <c r="B48" s="85"/>
      <c r="C48" s="85"/>
      <c r="E48" s="85"/>
    </row>
    <row r="49" ht="15.75" customHeight="1">
      <c r="A49" s="85"/>
      <c r="B49" s="85"/>
      <c r="C49" s="85"/>
      <c r="E49" s="85"/>
    </row>
    <row r="50" ht="15.75" customHeight="1">
      <c r="A50" s="85"/>
      <c r="B50" s="85"/>
      <c r="C50" s="85"/>
      <c r="E50" s="85"/>
    </row>
    <row r="51" ht="15.75" customHeight="1">
      <c r="A51" s="85"/>
      <c r="B51" s="85"/>
      <c r="C51" s="85"/>
      <c r="E51" s="85"/>
    </row>
    <row r="52" ht="15.75" customHeight="1">
      <c r="A52" s="85"/>
      <c r="B52" s="85"/>
      <c r="C52" s="85"/>
      <c r="E52" s="85"/>
    </row>
    <row r="53" ht="15.75" customHeight="1">
      <c r="A53" s="85"/>
      <c r="B53" s="85"/>
      <c r="C53" s="85"/>
      <c r="E53" s="85"/>
    </row>
    <row r="54" ht="15.75" customHeight="1">
      <c r="A54" s="85"/>
      <c r="B54" s="85"/>
      <c r="C54" s="85"/>
      <c r="E54" s="85"/>
    </row>
    <row r="55" ht="15.75" customHeight="1">
      <c r="A55" s="85"/>
      <c r="B55" s="85"/>
      <c r="C55" s="85"/>
      <c r="E55" s="85"/>
    </row>
    <row r="56" ht="15.75" customHeight="1">
      <c r="A56" s="85"/>
      <c r="B56" s="85"/>
      <c r="C56" s="85"/>
      <c r="E56" s="85"/>
    </row>
    <row r="57" ht="15.75" customHeight="1">
      <c r="A57" s="85"/>
      <c r="B57" s="85"/>
      <c r="C57" s="85"/>
      <c r="E57" s="85"/>
    </row>
    <row r="58" ht="15.75" customHeight="1">
      <c r="A58" s="85"/>
      <c r="B58" s="85"/>
      <c r="C58" s="85"/>
      <c r="E58" s="85"/>
    </row>
    <row r="59" ht="15.75" customHeight="1">
      <c r="A59" s="85"/>
      <c r="B59" s="85"/>
      <c r="C59" s="85"/>
      <c r="E59" s="85"/>
    </row>
    <row r="60" ht="15.75" customHeight="1">
      <c r="A60" s="85"/>
      <c r="B60" s="85"/>
      <c r="C60" s="85"/>
      <c r="E60" s="85"/>
    </row>
    <row r="61" ht="15.75" customHeight="1">
      <c r="A61" s="85"/>
      <c r="B61" s="85"/>
      <c r="C61" s="85"/>
      <c r="E61" s="85"/>
    </row>
    <row r="62" ht="15.75" customHeight="1">
      <c r="A62" s="82"/>
      <c r="B62" s="82"/>
      <c r="C62" s="82"/>
      <c r="E62" s="82"/>
    </row>
    <row r="63" ht="15.75" customHeight="1">
      <c r="A63" s="82"/>
      <c r="B63" s="82"/>
      <c r="C63" s="82"/>
      <c r="E63" s="82"/>
    </row>
    <row r="64" ht="15.75" customHeight="1">
      <c r="A64" s="82"/>
      <c r="B64" s="82"/>
      <c r="C64" s="82"/>
      <c r="E64" s="82"/>
    </row>
    <row r="65" ht="15.75" customHeight="1">
      <c r="A65" s="82"/>
      <c r="B65" s="82"/>
      <c r="C65" s="82"/>
      <c r="E65" s="82"/>
    </row>
    <row r="66" ht="15.75" customHeight="1">
      <c r="A66" s="82"/>
      <c r="B66" s="82"/>
      <c r="C66" s="82"/>
      <c r="E66" s="82"/>
    </row>
    <row r="67" ht="15.75" customHeight="1">
      <c r="A67" s="82"/>
      <c r="B67" s="82"/>
      <c r="C67" s="82"/>
      <c r="E67" s="82"/>
    </row>
    <row r="68" ht="15.75" customHeight="1">
      <c r="A68" s="82"/>
      <c r="B68" s="82"/>
      <c r="C68" s="82"/>
      <c r="E68" s="82"/>
    </row>
    <row r="69" ht="15.75" customHeight="1">
      <c r="A69" s="82"/>
      <c r="B69" s="82"/>
      <c r="C69" s="82"/>
      <c r="E69" s="82"/>
    </row>
    <row r="70" ht="15.75" customHeight="1">
      <c r="A70" s="82"/>
      <c r="B70" s="82"/>
      <c r="C70" s="82"/>
      <c r="E70" s="82"/>
    </row>
    <row r="71" ht="15.75" customHeight="1">
      <c r="A71" s="82"/>
      <c r="B71" s="82"/>
      <c r="C71" s="82"/>
      <c r="E71" s="82"/>
    </row>
    <row r="72" ht="15.75" customHeight="1">
      <c r="A72" s="82"/>
      <c r="B72" s="82"/>
      <c r="C72" s="82"/>
      <c r="E72" s="82"/>
    </row>
    <row r="73" ht="15.75" customHeight="1">
      <c r="A73" s="82"/>
      <c r="B73" s="82"/>
      <c r="C73" s="82"/>
      <c r="E73" s="82"/>
    </row>
    <row r="74" ht="15.75" customHeight="1">
      <c r="A74" s="82"/>
      <c r="B74" s="82"/>
      <c r="C74" s="82"/>
      <c r="E74" s="82"/>
    </row>
    <row r="75" ht="15.75" customHeight="1">
      <c r="A75" s="82"/>
      <c r="B75" s="82"/>
      <c r="C75" s="82"/>
      <c r="E75" s="82"/>
    </row>
    <row r="76" ht="15.75" customHeight="1">
      <c r="A76" s="82"/>
      <c r="B76" s="82"/>
      <c r="C76" s="82"/>
      <c r="E76" s="82"/>
    </row>
    <row r="77" ht="15.75" customHeight="1">
      <c r="A77" s="82"/>
      <c r="B77" s="82"/>
      <c r="C77" s="82"/>
      <c r="E77" s="82"/>
    </row>
    <row r="78" ht="15.75" customHeight="1">
      <c r="A78" s="82"/>
      <c r="B78" s="82"/>
      <c r="C78" s="82"/>
      <c r="E78" s="82"/>
    </row>
    <row r="79" ht="15.75" customHeight="1">
      <c r="A79" s="82"/>
      <c r="B79" s="82"/>
      <c r="C79" s="82"/>
      <c r="E79" s="82"/>
    </row>
    <row r="80" ht="15.75" customHeight="1">
      <c r="A80" s="82"/>
      <c r="B80" s="82"/>
      <c r="C80" s="82"/>
      <c r="E80" s="82"/>
    </row>
    <row r="81" ht="15.75" customHeight="1">
      <c r="A81" s="82"/>
      <c r="B81" s="82"/>
      <c r="C81" s="82"/>
      <c r="E81" s="82"/>
    </row>
    <row r="82" ht="15.75" customHeight="1">
      <c r="A82" s="82"/>
      <c r="B82" s="82"/>
      <c r="C82" s="82"/>
      <c r="E82" s="82"/>
    </row>
    <row r="83" ht="15.75" customHeight="1">
      <c r="A83" s="82"/>
      <c r="B83" s="82"/>
      <c r="C83" s="82"/>
      <c r="E83" s="82"/>
    </row>
    <row r="84" ht="15.75" customHeight="1">
      <c r="A84" s="82"/>
      <c r="B84" s="82"/>
      <c r="C84" s="82"/>
      <c r="E84" s="82"/>
    </row>
    <row r="85" ht="15.75" customHeight="1">
      <c r="A85" s="82"/>
      <c r="B85" s="82"/>
      <c r="C85" s="82"/>
      <c r="E85" s="82"/>
    </row>
    <row r="86" ht="15.75" customHeight="1">
      <c r="A86" s="82"/>
      <c r="B86" s="82"/>
      <c r="C86" s="82"/>
      <c r="E86" s="82"/>
    </row>
    <row r="87" ht="15.75" customHeight="1">
      <c r="A87" s="82"/>
      <c r="B87" s="82"/>
      <c r="C87" s="82"/>
      <c r="E87" s="82"/>
    </row>
    <row r="88" ht="15.75" customHeight="1">
      <c r="A88" s="82"/>
      <c r="B88" s="82"/>
      <c r="C88" s="82"/>
      <c r="E88" s="82"/>
    </row>
    <row r="89" ht="15.75" customHeight="1">
      <c r="A89" s="82"/>
      <c r="B89" s="82"/>
      <c r="C89" s="82"/>
      <c r="E89" s="82"/>
    </row>
    <row r="90" ht="15.75" customHeight="1">
      <c r="A90" s="82"/>
      <c r="B90" s="82"/>
      <c r="C90" s="82"/>
      <c r="E90" s="82"/>
    </row>
    <row r="91" ht="15.75" customHeight="1">
      <c r="A91" s="82"/>
      <c r="B91" s="82"/>
      <c r="C91" s="82"/>
      <c r="E91" s="82"/>
    </row>
    <row r="92" ht="15.75" customHeight="1">
      <c r="A92" s="82"/>
      <c r="B92" s="82"/>
      <c r="C92" s="82"/>
      <c r="E92" s="82"/>
    </row>
    <row r="93" ht="15.75" customHeight="1">
      <c r="A93" s="82"/>
      <c r="B93" s="82"/>
      <c r="C93" s="82"/>
      <c r="E93" s="82"/>
    </row>
    <row r="94" ht="15.75" customHeight="1">
      <c r="A94" s="82"/>
      <c r="B94" s="82"/>
      <c r="C94" s="82"/>
      <c r="E94" s="82"/>
    </row>
    <row r="95" ht="15.75" customHeight="1">
      <c r="A95" s="82"/>
      <c r="B95" s="82"/>
      <c r="C95" s="82"/>
      <c r="E95" s="82"/>
    </row>
    <row r="96" ht="15.75" customHeight="1">
      <c r="A96" s="82"/>
      <c r="B96" s="82"/>
      <c r="C96" s="82"/>
      <c r="E96" s="82"/>
    </row>
    <row r="97" ht="15.75" customHeight="1">
      <c r="A97" s="82"/>
      <c r="B97" s="82"/>
      <c r="C97" s="82"/>
      <c r="E97" s="82"/>
    </row>
    <row r="98" ht="15.75" customHeight="1">
      <c r="A98" s="82"/>
      <c r="B98" s="82"/>
      <c r="C98" s="82"/>
      <c r="E98" s="82"/>
    </row>
    <row r="99" ht="15.75" customHeight="1">
      <c r="A99" s="82"/>
      <c r="B99" s="82"/>
      <c r="C99" s="82"/>
      <c r="E99" s="82"/>
    </row>
    <row r="100" ht="15.75" customHeight="1">
      <c r="A100" s="82"/>
      <c r="B100" s="82"/>
      <c r="C100" s="82"/>
      <c r="E100" s="82"/>
    </row>
    <row r="101" ht="15.75" customHeight="1">
      <c r="A101" s="82"/>
      <c r="B101" s="82"/>
      <c r="C101" s="82"/>
      <c r="E101" s="82"/>
    </row>
    <row r="102" ht="15.75" customHeight="1">
      <c r="A102" s="82"/>
      <c r="B102" s="82"/>
      <c r="C102" s="82"/>
      <c r="E102" s="82"/>
    </row>
    <row r="103" ht="15.75" customHeight="1">
      <c r="A103" s="82"/>
      <c r="B103" s="82"/>
      <c r="C103" s="82"/>
      <c r="E103" s="82"/>
    </row>
    <row r="104" ht="15.75" customHeight="1">
      <c r="A104" s="82"/>
      <c r="B104" s="82"/>
      <c r="C104" s="82"/>
      <c r="E104" s="82"/>
    </row>
    <row r="105" ht="15.75" customHeight="1">
      <c r="A105" s="82"/>
      <c r="B105" s="82"/>
      <c r="C105" s="82"/>
      <c r="E105" s="82"/>
    </row>
    <row r="106" ht="15.75" customHeight="1">
      <c r="A106" s="82"/>
      <c r="B106" s="82"/>
      <c r="C106" s="82"/>
      <c r="E106" s="82"/>
    </row>
    <row r="107" ht="15.75" customHeight="1">
      <c r="A107" s="82"/>
      <c r="B107" s="82"/>
      <c r="C107" s="82"/>
      <c r="E107" s="82"/>
    </row>
    <row r="108" ht="15.75" customHeight="1">
      <c r="A108" s="82"/>
      <c r="B108" s="82"/>
      <c r="C108" s="82"/>
      <c r="E108" s="82"/>
    </row>
    <row r="109" ht="15.75" customHeight="1">
      <c r="A109" s="82"/>
      <c r="B109" s="82"/>
      <c r="C109" s="82"/>
      <c r="E109" s="82"/>
    </row>
    <row r="110" ht="15.75" customHeight="1">
      <c r="A110" s="82"/>
      <c r="B110" s="82"/>
      <c r="C110" s="82"/>
      <c r="E110" s="82"/>
    </row>
    <row r="111" ht="15.75" customHeight="1">
      <c r="A111" s="82"/>
      <c r="B111" s="82"/>
      <c r="C111" s="82"/>
      <c r="E111" s="82"/>
    </row>
    <row r="112" ht="15.75" customHeight="1">
      <c r="A112" s="82"/>
      <c r="B112" s="82"/>
      <c r="C112" s="82"/>
      <c r="E112" s="82"/>
    </row>
    <row r="113" ht="15.75" customHeight="1">
      <c r="A113" s="82"/>
      <c r="B113" s="82"/>
      <c r="C113" s="82"/>
      <c r="E113" s="82"/>
    </row>
    <row r="114" ht="15.75" customHeight="1">
      <c r="A114" s="82"/>
      <c r="B114" s="82"/>
      <c r="C114" s="82"/>
      <c r="E114" s="82"/>
    </row>
    <row r="115" ht="15.75" customHeight="1">
      <c r="A115" s="82"/>
      <c r="B115" s="82"/>
      <c r="C115" s="82"/>
      <c r="E115" s="82"/>
    </row>
    <row r="116" ht="15.75" customHeight="1">
      <c r="A116" s="82"/>
      <c r="B116" s="82"/>
      <c r="C116" s="82"/>
      <c r="E116" s="82"/>
    </row>
    <row r="117" ht="15.75" customHeight="1">
      <c r="A117" s="82"/>
      <c r="B117" s="82"/>
      <c r="C117" s="82"/>
      <c r="E117" s="82"/>
    </row>
    <row r="118" ht="15.75" customHeight="1">
      <c r="A118" s="82"/>
      <c r="B118" s="82"/>
      <c r="C118" s="82"/>
      <c r="E118" s="82"/>
    </row>
    <row r="119" ht="15.75" customHeight="1">
      <c r="A119" s="82"/>
      <c r="B119" s="82"/>
      <c r="C119" s="82"/>
      <c r="E119" s="82"/>
    </row>
    <row r="120" ht="15.75" customHeight="1">
      <c r="A120" s="82"/>
      <c r="B120" s="82"/>
      <c r="C120" s="82"/>
      <c r="E120" s="82"/>
    </row>
    <row r="121" ht="15.75" customHeight="1">
      <c r="A121" s="82"/>
      <c r="B121" s="82"/>
      <c r="C121" s="82"/>
      <c r="E121" s="82"/>
    </row>
    <row r="122" ht="15.75" customHeight="1">
      <c r="A122" s="82"/>
      <c r="B122" s="82"/>
      <c r="C122" s="82"/>
      <c r="E122" s="82"/>
    </row>
    <row r="123" ht="15.75" customHeight="1">
      <c r="A123" s="82"/>
      <c r="B123" s="82"/>
      <c r="C123" s="82"/>
      <c r="E123" s="82"/>
    </row>
    <row r="124" ht="15.75" customHeight="1">
      <c r="A124" s="82"/>
      <c r="B124" s="82"/>
      <c r="C124" s="82"/>
      <c r="E124" s="82"/>
    </row>
    <row r="125" ht="15.75" customHeight="1">
      <c r="A125" s="82"/>
      <c r="B125" s="82"/>
      <c r="C125" s="82"/>
      <c r="E125" s="82"/>
    </row>
    <row r="126" ht="15.75" customHeight="1">
      <c r="A126" s="82"/>
      <c r="B126" s="82"/>
      <c r="C126" s="82"/>
      <c r="E126" s="82"/>
    </row>
    <row r="127" ht="15.75" customHeight="1">
      <c r="A127" s="82"/>
      <c r="B127" s="82"/>
      <c r="C127" s="82"/>
      <c r="E127" s="82"/>
    </row>
    <row r="128" ht="15.75" customHeight="1">
      <c r="A128" s="82"/>
      <c r="B128" s="82"/>
      <c r="C128" s="82"/>
      <c r="E128" s="82"/>
    </row>
    <row r="129" ht="15.75" customHeight="1">
      <c r="A129" s="82"/>
      <c r="B129" s="82"/>
      <c r="C129" s="82"/>
      <c r="E129" s="82"/>
    </row>
    <row r="130" ht="15.75" customHeight="1">
      <c r="A130" s="82"/>
      <c r="B130" s="82"/>
      <c r="C130" s="82"/>
      <c r="E130" s="82"/>
    </row>
    <row r="131" ht="15.75" customHeight="1">
      <c r="A131" s="82"/>
      <c r="B131" s="82"/>
      <c r="C131" s="82"/>
      <c r="E131" s="82"/>
    </row>
    <row r="132" ht="15.75" customHeight="1">
      <c r="A132" s="82"/>
      <c r="B132" s="82"/>
      <c r="C132" s="82"/>
      <c r="E132" s="82"/>
    </row>
    <row r="133" ht="15.75" customHeight="1">
      <c r="A133" s="82"/>
      <c r="B133" s="82"/>
      <c r="C133" s="82"/>
      <c r="E133" s="82"/>
    </row>
    <row r="134" ht="15.75" customHeight="1">
      <c r="A134" s="82"/>
      <c r="B134" s="82"/>
      <c r="C134" s="82"/>
      <c r="E134" s="82"/>
    </row>
    <row r="135" ht="15.75" customHeight="1">
      <c r="A135" s="82"/>
      <c r="B135" s="82"/>
      <c r="C135" s="82"/>
      <c r="E135" s="82"/>
    </row>
    <row r="136" ht="15.75" customHeight="1">
      <c r="A136" s="82"/>
      <c r="B136" s="82"/>
      <c r="C136" s="82"/>
      <c r="E136" s="82"/>
    </row>
    <row r="137" ht="15.75" customHeight="1">
      <c r="A137" s="82"/>
      <c r="B137" s="82"/>
      <c r="C137" s="82"/>
      <c r="E137" s="82"/>
    </row>
    <row r="138" ht="15.75" customHeight="1">
      <c r="A138" s="82"/>
      <c r="B138" s="82"/>
      <c r="C138" s="82"/>
      <c r="E138" s="82"/>
    </row>
    <row r="139" ht="15.75" customHeight="1">
      <c r="A139" s="82"/>
      <c r="B139" s="82"/>
      <c r="C139" s="82"/>
      <c r="E139" s="82"/>
    </row>
    <row r="140" ht="15.75" customHeight="1">
      <c r="A140" s="82"/>
      <c r="B140" s="82"/>
      <c r="C140" s="82"/>
      <c r="E140" s="82"/>
    </row>
    <row r="141" ht="15.75" customHeight="1">
      <c r="A141" s="82"/>
      <c r="B141" s="82"/>
      <c r="C141" s="82"/>
      <c r="E141" s="82"/>
    </row>
    <row r="142" ht="15.75" customHeight="1">
      <c r="A142" s="82"/>
      <c r="B142" s="82"/>
      <c r="C142" s="82"/>
      <c r="E142" s="82"/>
    </row>
    <row r="143" ht="15.75" customHeight="1">
      <c r="A143" s="82"/>
      <c r="B143" s="82"/>
      <c r="C143" s="82"/>
      <c r="E143" s="82"/>
    </row>
    <row r="144" ht="15.75" customHeight="1">
      <c r="A144" s="82"/>
      <c r="B144" s="82"/>
      <c r="C144" s="82"/>
      <c r="E144" s="82"/>
    </row>
    <row r="145" ht="15.75" customHeight="1">
      <c r="A145" s="82"/>
      <c r="B145" s="82"/>
      <c r="C145" s="82"/>
      <c r="E145" s="82"/>
    </row>
    <row r="146" ht="15.75" customHeight="1">
      <c r="A146" s="82"/>
      <c r="B146" s="82"/>
      <c r="C146" s="82"/>
      <c r="E146" s="82"/>
    </row>
    <row r="147" ht="15.75" customHeight="1">
      <c r="A147" s="82"/>
      <c r="B147" s="82"/>
      <c r="C147" s="82"/>
      <c r="E147" s="82"/>
    </row>
    <row r="148" ht="15.75" customHeight="1">
      <c r="A148" s="82"/>
      <c r="B148" s="82"/>
      <c r="C148" s="82"/>
      <c r="E148" s="82"/>
    </row>
    <row r="149" ht="15.75" customHeight="1">
      <c r="A149" s="82"/>
      <c r="B149" s="82"/>
      <c r="C149" s="82"/>
      <c r="E149" s="82"/>
    </row>
    <row r="150" ht="15.75" customHeight="1">
      <c r="A150" s="82"/>
      <c r="B150" s="82"/>
      <c r="C150" s="82"/>
      <c r="E150" s="82"/>
    </row>
    <row r="151" ht="15.75" customHeight="1">
      <c r="A151" s="82"/>
      <c r="B151" s="82"/>
      <c r="C151" s="82"/>
      <c r="E151" s="82"/>
    </row>
    <row r="152" ht="15.75" customHeight="1">
      <c r="A152" s="82"/>
      <c r="B152" s="82"/>
      <c r="C152" s="82"/>
      <c r="E152" s="82"/>
    </row>
    <row r="153" ht="15.75" customHeight="1">
      <c r="A153" s="82"/>
      <c r="B153" s="82"/>
      <c r="C153" s="82"/>
      <c r="E153" s="82"/>
    </row>
    <row r="154" ht="15.75" customHeight="1">
      <c r="A154" s="82"/>
      <c r="B154" s="82"/>
      <c r="C154" s="82"/>
      <c r="E154" s="82"/>
    </row>
    <row r="155" ht="15.75" customHeight="1">
      <c r="A155" s="82"/>
      <c r="B155" s="82"/>
      <c r="C155" s="82"/>
      <c r="E155" s="82"/>
    </row>
    <row r="156" ht="15.75" customHeight="1">
      <c r="A156" s="82"/>
      <c r="B156" s="82"/>
      <c r="C156" s="82"/>
      <c r="E156" s="82"/>
    </row>
    <row r="157" ht="15.75" customHeight="1">
      <c r="A157" s="82"/>
      <c r="B157" s="82"/>
      <c r="C157" s="82"/>
      <c r="E157" s="82"/>
    </row>
    <row r="158" ht="15.75" customHeight="1">
      <c r="A158" s="82"/>
      <c r="B158" s="82"/>
      <c r="C158" s="82"/>
      <c r="E158" s="82"/>
    </row>
    <row r="159" ht="15.75" customHeight="1">
      <c r="A159" s="82"/>
      <c r="B159" s="82"/>
      <c r="C159" s="82"/>
      <c r="E159" s="82"/>
    </row>
    <row r="160" ht="15.75" customHeight="1">
      <c r="A160" s="82"/>
      <c r="B160" s="82"/>
      <c r="C160" s="82"/>
      <c r="E160" s="82"/>
    </row>
    <row r="161" ht="15.75" customHeight="1">
      <c r="A161" s="82"/>
      <c r="B161" s="82"/>
      <c r="C161" s="82"/>
      <c r="E161" s="82"/>
    </row>
    <row r="162" ht="15.75" customHeight="1">
      <c r="A162" s="82"/>
      <c r="B162" s="82"/>
      <c r="C162" s="82"/>
      <c r="E162" s="82"/>
    </row>
    <row r="163" ht="15.75" customHeight="1">
      <c r="A163" s="82"/>
      <c r="B163" s="82"/>
      <c r="C163" s="82"/>
      <c r="E163" s="82"/>
    </row>
    <row r="164" ht="15.75" customHeight="1">
      <c r="A164" s="82"/>
      <c r="B164" s="82"/>
      <c r="C164" s="82"/>
      <c r="E164" s="82"/>
    </row>
    <row r="165" ht="15.75" customHeight="1">
      <c r="A165" s="82"/>
      <c r="B165" s="82"/>
      <c r="C165" s="82"/>
      <c r="E165" s="82"/>
    </row>
    <row r="166" ht="15.75" customHeight="1">
      <c r="A166" s="82"/>
      <c r="B166" s="82"/>
      <c r="C166" s="82"/>
      <c r="E166" s="82"/>
    </row>
    <row r="167" ht="15.75" customHeight="1">
      <c r="A167" s="82"/>
      <c r="B167" s="82"/>
      <c r="C167" s="82"/>
      <c r="E167" s="82"/>
    </row>
    <row r="168" ht="15.75" customHeight="1">
      <c r="A168" s="82"/>
      <c r="B168" s="82"/>
      <c r="C168" s="82"/>
      <c r="E168" s="82"/>
    </row>
    <row r="169" ht="15.75" customHeight="1">
      <c r="A169" s="82"/>
      <c r="B169" s="82"/>
      <c r="C169" s="82"/>
      <c r="E169" s="82"/>
    </row>
    <row r="170" ht="15.75" customHeight="1">
      <c r="A170" s="82"/>
      <c r="B170" s="82"/>
      <c r="C170" s="82"/>
      <c r="E170" s="82"/>
    </row>
    <row r="171" ht="15.75" customHeight="1">
      <c r="A171" s="82"/>
      <c r="B171" s="82"/>
      <c r="C171" s="82"/>
      <c r="E171" s="82"/>
    </row>
    <row r="172" ht="15.75" customHeight="1">
      <c r="A172" s="82"/>
      <c r="B172" s="82"/>
      <c r="C172" s="82"/>
      <c r="E172" s="82"/>
    </row>
    <row r="173" ht="15.75" customHeight="1">
      <c r="A173" s="82"/>
      <c r="B173" s="82"/>
      <c r="C173" s="82"/>
      <c r="E173" s="82"/>
    </row>
    <row r="174" ht="15.75" customHeight="1">
      <c r="A174" s="82"/>
      <c r="B174" s="82"/>
      <c r="C174" s="82"/>
      <c r="E174" s="82"/>
    </row>
    <row r="175" ht="15.75" customHeight="1">
      <c r="A175" s="82"/>
      <c r="B175" s="82"/>
      <c r="C175" s="82"/>
      <c r="E175" s="82"/>
    </row>
    <row r="176" ht="15.75" customHeight="1">
      <c r="A176" s="82"/>
      <c r="B176" s="82"/>
      <c r="C176" s="82"/>
      <c r="E176" s="82"/>
    </row>
    <row r="177" ht="15.75" customHeight="1">
      <c r="A177" s="82"/>
      <c r="B177" s="82"/>
      <c r="C177" s="82"/>
      <c r="E177" s="82"/>
    </row>
    <row r="178" ht="15.75" customHeight="1">
      <c r="A178" s="82"/>
      <c r="B178" s="82"/>
      <c r="C178" s="82"/>
      <c r="E178" s="82"/>
    </row>
    <row r="179" ht="15.75" customHeight="1">
      <c r="A179" s="82"/>
      <c r="B179" s="82"/>
      <c r="C179" s="82"/>
      <c r="E179" s="82"/>
    </row>
    <row r="180" ht="15.75" customHeight="1">
      <c r="A180" s="82"/>
      <c r="B180" s="82"/>
      <c r="C180" s="82"/>
      <c r="E180" s="82"/>
    </row>
    <row r="181" ht="15.75" customHeight="1">
      <c r="A181" s="82"/>
      <c r="B181" s="82"/>
      <c r="C181" s="82"/>
      <c r="E181" s="82"/>
    </row>
    <row r="182" ht="15.75" customHeight="1">
      <c r="A182" s="82"/>
      <c r="B182" s="82"/>
      <c r="C182" s="82"/>
      <c r="E182" s="82"/>
    </row>
    <row r="183" ht="15.75" customHeight="1">
      <c r="A183" s="82"/>
      <c r="B183" s="82"/>
      <c r="C183" s="82"/>
      <c r="E183" s="82"/>
    </row>
    <row r="184" ht="15.75" customHeight="1">
      <c r="A184" s="82"/>
      <c r="B184" s="82"/>
      <c r="C184" s="82"/>
      <c r="E184" s="82"/>
    </row>
    <row r="185" ht="15.75" customHeight="1">
      <c r="A185" s="82"/>
      <c r="B185" s="82"/>
      <c r="C185" s="82"/>
      <c r="E185" s="82"/>
    </row>
    <row r="186" ht="15.75" customHeight="1">
      <c r="A186" s="82"/>
      <c r="B186" s="82"/>
      <c r="C186" s="82"/>
      <c r="E186" s="82"/>
    </row>
    <row r="187" ht="15.75" customHeight="1">
      <c r="A187" s="82"/>
      <c r="B187" s="82"/>
      <c r="C187" s="82"/>
      <c r="E187" s="82"/>
    </row>
    <row r="188" ht="15.75" customHeight="1">
      <c r="A188" s="82"/>
      <c r="B188" s="82"/>
      <c r="C188" s="82"/>
      <c r="E188" s="82"/>
    </row>
    <row r="189" ht="15.75" customHeight="1">
      <c r="A189" s="82"/>
      <c r="B189" s="82"/>
      <c r="C189" s="82"/>
      <c r="E189" s="82"/>
    </row>
    <row r="190" ht="15.75" customHeight="1">
      <c r="A190" s="82"/>
      <c r="B190" s="82"/>
      <c r="C190" s="82"/>
      <c r="E190" s="82"/>
    </row>
    <row r="191" ht="15.75" customHeight="1">
      <c r="A191" s="82"/>
      <c r="B191" s="82"/>
      <c r="C191" s="82"/>
      <c r="E191" s="82"/>
    </row>
    <row r="192" ht="15.75" customHeight="1">
      <c r="A192" s="82"/>
      <c r="B192" s="82"/>
      <c r="C192" s="82"/>
      <c r="E192" s="82"/>
    </row>
    <row r="193" ht="15.75" customHeight="1">
      <c r="A193" s="82"/>
      <c r="B193" s="82"/>
      <c r="C193" s="82"/>
      <c r="E193" s="82"/>
    </row>
    <row r="194" ht="15.75" customHeight="1">
      <c r="A194" s="82"/>
      <c r="B194" s="82"/>
      <c r="C194" s="82"/>
      <c r="E194" s="82"/>
    </row>
    <row r="195" ht="15.75" customHeight="1">
      <c r="A195" s="82"/>
      <c r="B195" s="82"/>
      <c r="C195" s="82"/>
      <c r="E195" s="82"/>
    </row>
    <row r="196" ht="15.75" customHeight="1">
      <c r="A196" s="82"/>
      <c r="B196" s="82"/>
      <c r="C196" s="82"/>
      <c r="E196" s="82"/>
    </row>
    <row r="197" ht="15.75" customHeight="1">
      <c r="A197" s="82"/>
      <c r="B197" s="82"/>
      <c r="C197" s="82"/>
      <c r="E197" s="82"/>
    </row>
    <row r="198" ht="15.75" customHeight="1">
      <c r="A198" s="82"/>
      <c r="B198" s="82"/>
      <c r="C198" s="82"/>
      <c r="E198" s="82"/>
    </row>
    <row r="199" ht="15.75" customHeight="1">
      <c r="A199" s="82"/>
      <c r="B199" s="82"/>
      <c r="C199" s="82"/>
      <c r="E199" s="82"/>
    </row>
    <row r="200" ht="15.75" customHeight="1">
      <c r="A200" s="82"/>
      <c r="B200" s="82"/>
      <c r="C200" s="82"/>
      <c r="E200" s="82"/>
    </row>
    <row r="201" ht="15.75" customHeight="1">
      <c r="A201" s="82"/>
      <c r="B201" s="82"/>
      <c r="C201" s="82"/>
      <c r="E201" s="82"/>
    </row>
    <row r="202" ht="15.75" customHeight="1">
      <c r="A202" s="82"/>
      <c r="B202" s="82"/>
      <c r="C202" s="82"/>
      <c r="E202" s="82"/>
    </row>
    <row r="203" ht="15.75" customHeight="1">
      <c r="A203" s="82"/>
      <c r="B203" s="82"/>
      <c r="C203" s="82"/>
      <c r="E203" s="82"/>
    </row>
    <row r="204" ht="15.75" customHeight="1">
      <c r="A204" s="82"/>
      <c r="B204" s="82"/>
      <c r="C204" s="82"/>
      <c r="E204" s="82"/>
    </row>
    <row r="205" ht="15.75" customHeight="1">
      <c r="A205" s="82"/>
      <c r="B205" s="82"/>
      <c r="C205" s="82"/>
      <c r="E205" s="82"/>
    </row>
    <row r="206" ht="15.75" customHeight="1">
      <c r="A206" s="82"/>
      <c r="B206" s="82"/>
      <c r="C206" s="82"/>
      <c r="E206" s="82"/>
    </row>
    <row r="207" ht="15.75" customHeight="1">
      <c r="A207" s="82"/>
      <c r="B207" s="82"/>
      <c r="C207" s="82"/>
      <c r="E207" s="82"/>
    </row>
    <row r="208" ht="15.75" customHeight="1">
      <c r="A208" s="82"/>
      <c r="B208" s="82"/>
      <c r="C208" s="82"/>
      <c r="E208" s="82"/>
    </row>
    <row r="209" ht="15.75" customHeight="1">
      <c r="A209" s="82"/>
      <c r="B209" s="82"/>
      <c r="C209" s="82"/>
      <c r="E209" s="82"/>
    </row>
    <row r="210" ht="15.75" customHeight="1">
      <c r="A210" s="82"/>
      <c r="B210" s="82"/>
      <c r="C210" s="82"/>
      <c r="E210" s="82"/>
    </row>
    <row r="211" ht="15.75" customHeight="1">
      <c r="A211" s="82"/>
      <c r="B211" s="82"/>
      <c r="C211" s="82"/>
      <c r="E211" s="82"/>
    </row>
    <row r="212" ht="15.75" customHeight="1">
      <c r="A212" s="82"/>
      <c r="B212" s="82"/>
      <c r="C212" s="82"/>
      <c r="E212" s="82"/>
    </row>
    <row r="213" ht="15.75" customHeight="1">
      <c r="A213" s="82"/>
      <c r="B213" s="82"/>
      <c r="C213" s="82"/>
      <c r="E213" s="82"/>
    </row>
    <row r="214" ht="15.75" customHeight="1">
      <c r="A214" s="82"/>
      <c r="B214" s="82"/>
      <c r="C214" s="82"/>
      <c r="E214" s="82"/>
    </row>
    <row r="215" ht="15.75" customHeight="1">
      <c r="A215" s="82"/>
      <c r="B215" s="82"/>
      <c r="C215" s="82"/>
      <c r="E215" s="82"/>
    </row>
    <row r="216" ht="15.75" customHeight="1">
      <c r="A216" s="82"/>
      <c r="B216" s="82"/>
      <c r="C216" s="82"/>
      <c r="E216" s="82"/>
    </row>
    <row r="217" ht="15.75" customHeight="1">
      <c r="A217" s="82"/>
      <c r="B217" s="82"/>
      <c r="C217" s="82"/>
      <c r="E217" s="82"/>
    </row>
    <row r="218" ht="15.75" customHeight="1">
      <c r="A218" s="82"/>
      <c r="B218" s="82"/>
      <c r="C218" s="82"/>
      <c r="E218" s="82"/>
    </row>
    <row r="219" ht="15.75" customHeight="1">
      <c r="A219" s="82"/>
      <c r="B219" s="82"/>
      <c r="C219" s="82"/>
      <c r="E219" s="82"/>
    </row>
    <row r="220" ht="15.75" customHeight="1">
      <c r="A220" s="82"/>
      <c r="B220" s="82"/>
      <c r="C220" s="82"/>
      <c r="E220" s="8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3:D11">
    <cfRule type="containsText" dxfId="3" priority="1" operator="containsText" text="Approved">
      <formula>NOT(ISERROR(SEARCH(("Approved"),(D3))))</formula>
    </cfRule>
  </conditionalFormatting>
  <conditionalFormatting sqref="D3:D11">
    <cfRule type="containsText" dxfId="4" priority="2" operator="containsText" text="Needs Review">
      <formula>NOT(ISERROR(SEARCH(("Needs Review"),(D3))))</formula>
    </cfRule>
  </conditionalFormatting>
  <conditionalFormatting sqref="D3:D11">
    <cfRule type="containsText" dxfId="5" priority="3" operator="containsText" text="Not Started">
      <formula>NOT(ISERROR(SEARCH(("Not Started"),(D3))))</formula>
    </cfRule>
  </conditionalFormatting>
  <conditionalFormatting sqref="D3:D11">
    <cfRule type="containsText" dxfId="0" priority="4" operator="containsText" text="On Hold">
      <formula>NOT(ISERROR(SEARCH(("On Hold"),(D3))))</formula>
    </cfRule>
  </conditionalFormatting>
  <conditionalFormatting sqref="D3:D11">
    <cfRule type="containsText" dxfId="6" priority="5" operator="containsText" text="Overdue">
      <formula>NOT(ISERROR(SEARCH(("Overdue"),(D3))))</formula>
    </cfRule>
  </conditionalFormatting>
  <conditionalFormatting sqref="D3:D11">
    <cfRule type="containsText" dxfId="7" priority="6" operator="containsText" text="Complete">
      <formula>NOT(ISERROR(SEARCH(("Complete"),(D3))))</formula>
    </cfRule>
  </conditionalFormatting>
  <conditionalFormatting sqref="D3:D11">
    <cfRule type="containsText" dxfId="8" priority="7" operator="containsText" text="In Progress">
      <formula>NOT(ISERROR(SEARCH(("In Progress"),(D3))))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2026-05-29T21:08:03Z</dcterms:created>
  <dc:creator>pablo cariman</dc:creator>
</cp:coreProperties>
</file>